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CADASTRO" state="visible" r:id="rId5"/>
    <sheet sheetId="3" name="AFASTAMENTOS" state="visible" r:id="rId6"/>
    <sheet sheetId="4" name="DISCIPLINAR" state="visible" r:id="rId7"/>
    <sheet sheetId="5" name="HORAS_EXTRAS" state="visible" r:id="rId8"/>
    <sheet sheetId="6" name="RELATORIOS" state="visible" r:id="rId9"/>
    <sheet sheetId="7" name="DB_FUNCIONARIOS" state="visible" r:id="rId10"/>
    <sheet sheetId="8" name="DB_AFASTAMENTOS" state="visible" r:id="rId11"/>
    <sheet sheetId="9" name="DB_DISCIPLINAR" state="visible" r:id="rId12"/>
    <sheet sheetId="10" name="DB_HORAS_EXTRAS" state="visible" r:id="rId13"/>
  </sheets>
  <calcPr calcId="171027"/>
</workbook>
</file>

<file path=xl/sharedStrings.xml><?xml version="1.0" encoding="utf-8"?>
<sst xmlns="http://schemas.openxmlformats.org/spreadsheetml/2006/main" count="676" uniqueCount="402">
  <si>
    <t>ADV LIRA</t>
  </si>
  <si>
    <t>PAINEL DE INDICADORES DE RECURSOS HUMANOS</t>
  </si>
  <si>
    <t>Area</t>
  </si>
  <si>
    <t>Quantidade</t>
  </si>
  <si>
    <t>Diretoria</t>
  </si>
  <si>
    <t>Recursos Humanos</t>
  </si>
  <si>
    <t xml:space="preserve">   🏠 Dashboard</t>
  </si>
  <si>
    <t>Ativos</t>
  </si>
  <si>
    <t>Afastados</t>
  </si>
  <si>
    <t>Admissoes Ano</t>
  </si>
  <si>
    <t>Desligados Ano</t>
  </si>
  <si>
    <t>Juridico</t>
  </si>
  <si>
    <t>Operacional</t>
  </si>
  <si>
    <t xml:space="preserve">   👥 Cadastro</t>
  </si>
  <si>
    <t>Financeiro</t>
  </si>
  <si>
    <t>Tecnologia</t>
  </si>
  <si>
    <t xml:space="preserve">   🩹 Afastamentos</t>
  </si>
  <si>
    <t>Status</t>
  </si>
  <si>
    <t>Qtd</t>
  </si>
  <si>
    <t xml:space="preserve">   ⚠️ Disciplinar</t>
  </si>
  <si>
    <t>Ativo</t>
  </si>
  <si>
    <t>Afastado</t>
  </si>
  <si>
    <t xml:space="preserve">   🕒 Horas Extras</t>
  </si>
  <si>
    <t>Desligado</t>
  </si>
  <si>
    <t xml:space="preserve">   📊 Relatorios</t>
  </si>
  <si>
    <t xml:space="preserve">   🚪 Sair (Logoff)</t>
  </si>
  <si>
    <t>FICHA REGISTRO DE COLABORADOR</t>
  </si>
  <si>
    <t>Buscar CPF ou Codigo:</t>
  </si>
  <si>
    <t/>
  </si>
  <si>
    <t>Aguardando busca ou novo cadastro...</t>
  </si>
  <si>
    <t>Codigo:</t>
  </si>
  <si>
    <t>Nome Completo:</t>
  </si>
  <si>
    <t>RG:</t>
  </si>
  <si>
    <t>CPF:</t>
  </si>
  <si>
    <t>Nascimento:</t>
  </si>
  <si>
    <t>Estado Civil:</t>
  </si>
  <si>
    <t>Sexo:</t>
  </si>
  <si>
    <t>Telefone:</t>
  </si>
  <si>
    <t>E-mail:</t>
  </si>
  <si>
    <t>Possui Deficiencia?</t>
  </si>
  <si>
    <t>CEP:</t>
  </si>
  <si>
    <t>Tipo Deficiencia:</t>
  </si>
  <si>
    <t>Endereco:</t>
  </si>
  <si>
    <t>Escolaridade:</t>
  </si>
  <si>
    <t>Numero / Compl:</t>
  </si>
  <si>
    <t>Cargo / Funcao:</t>
  </si>
  <si>
    <t>Bairro:</t>
  </si>
  <si>
    <t>Area / Depto:</t>
  </si>
  <si>
    <t>Cidade:</t>
  </si>
  <si>
    <t>Gestor Imediato:</t>
  </si>
  <si>
    <t>Estado / Pais:</t>
  </si>
  <si>
    <t>Data Admissao:</t>
  </si>
  <si>
    <t>Nome da Mae:</t>
  </si>
  <si>
    <t>Salario Inicial:</t>
  </si>
  <si>
    <t>Nome do Pai:</t>
  </si>
  <si>
    <t>Salario Atual:</t>
  </si>
  <si>
    <t>Dependentes:</t>
  </si>
  <si>
    <t>PIS / PASEP:</t>
  </si>
  <si>
    <t>CTPS / Serie / UF:</t>
  </si>
  <si>
    <t>Status:</t>
  </si>
  <si>
    <t>BENEFICIOS E INFORMACOES COMPLEMENTARES</t>
  </si>
  <si>
    <t>Vale Transporte:</t>
  </si>
  <si>
    <t>Nao</t>
  </si>
  <si>
    <t>Observacoes:</t>
  </si>
  <si>
    <t>Vale Refeicao:</t>
  </si>
  <si>
    <t>Vale Alimentacao:</t>
  </si>
  <si>
    <t>Plano de Saude:</t>
  </si>
  <si>
    <t>Plano Odonto:</t>
  </si>
  <si>
    <t>Seguro de Vida:</t>
  </si>
  <si>
    <t>HISTORICO DE AFASTAMENTOS &amp; LICENCAS</t>
  </si>
  <si>
    <t>Codigo</t>
  </si>
  <si>
    <t>Nome Colaborador</t>
  </si>
  <si>
    <t>Data Inicio</t>
  </si>
  <si>
    <t>Data Fim</t>
  </si>
  <si>
    <t>Tipo Afastamento</t>
  </si>
  <si>
    <t>Descricao</t>
  </si>
  <si>
    <t>CONTROLE DE PENALIDADES DISCIPLINARES</t>
  </si>
  <si>
    <t>Data Ocorrencia</t>
  </si>
  <si>
    <t>Tipo Penalidade</t>
  </si>
  <si>
    <t>Descricao / Motivo</t>
  </si>
  <si>
    <t>Gestor Solicitante</t>
  </si>
  <si>
    <t>CONTROLE DE HORAS EXTRAS &amp; BANCO DE HORAS</t>
  </si>
  <si>
    <t>Horas Extras (h)</t>
  </si>
  <si>
    <t>Horas Atraso (h)</t>
  </si>
  <si>
    <t>Justificativa</t>
  </si>
  <si>
    <t>PAINEL DE EXPORTACAO E RELATORIOS GERENCIAIS</t>
  </si>
  <si>
    <t>F0001</t>
  </si>
  <si>
    <t>FICHA INDIVIDUAL DO COLABORADOR (PREVIEW)</t>
  </si>
  <si>
    <t>Buscar Codigo:</t>
  </si>
  <si>
    <t>Nome:</t>
  </si>
  <si>
    <t>Cargo:</t>
  </si>
  <si>
    <t>Admissao:</t>
  </si>
  <si>
    <t>Email:</t>
  </si>
  <si>
    <t>Nome Completo</t>
  </si>
  <si>
    <t>RG</t>
  </si>
  <si>
    <t>CPF</t>
  </si>
  <si>
    <t>Data Nascimento</t>
  </si>
  <si>
    <t>Estado Civil</t>
  </si>
  <si>
    <t>E-mail</t>
  </si>
  <si>
    <t>Telefone</t>
  </si>
  <si>
    <t>Endereco</t>
  </si>
  <si>
    <t>Numero</t>
  </si>
  <si>
    <t>Complemento</t>
  </si>
  <si>
    <t>Bairro</t>
  </si>
  <si>
    <t>Cidade</t>
  </si>
  <si>
    <t>Estado</t>
  </si>
  <si>
    <t>CEP</t>
  </si>
  <si>
    <t>Nome da Mae</t>
  </si>
  <si>
    <t>Nome do Pai</t>
  </si>
  <si>
    <t>Dependentes</t>
  </si>
  <si>
    <t>Possui Deficiencia</t>
  </si>
  <si>
    <t>Tipo Deficiencia</t>
  </si>
  <si>
    <t>Caminho Foto</t>
  </si>
  <si>
    <t>Observacoes</t>
  </si>
  <si>
    <t>Pais</t>
  </si>
  <si>
    <t>Sexo</t>
  </si>
  <si>
    <t>Altura</t>
  </si>
  <si>
    <t>Escolaridade</t>
  </si>
  <si>
    <t>Profissao</t>
  </si>
  <si>
    <t>Empresa</t>
  </si>
  <si>
    <t>PIS</t>
  </si>
  <si>
    <t>CTPS</t>
  </si>
  <si>
    <t>Serie</t>
  </si>
  <si>
    <t>UF Documento</t>
  </si>
  <si>
    <t>Data Emissao</t>
  </si>
  <si>
    <t>Data Admissao</t>
  </si>
  <si>
    <t>Cargo</t>
  </si>
  <si>
    <t>Departamento</t>
  </si>
  <si>
    <t>Gestor</t>
  </si>
  <si>
    <t>Atividades</t>
  </si>
  <si>
    <t>Salario Inicial</t>
  </si>
  <si>
    <t>Salario Atual</t>
  </si>
  <si>
    <t>Vale Transporte</t>
  </si>
  <si>
    <t>Vale Refeicao</t>
  </si>
  <si>
    <t>Vale Alimentacao</t>
  </si>
  <si>
    <t>Plano de Saude</t>
  </si>
  <si>
    <t>Plano Odontologico</t>
  </si>
  <si>
    <t>Seguro de Vida</t>
  </si>
  <si>
    <t>Lucas de Melo Silva</t>
  </si>
  <si>
    <t>11.222.333-4</t>
  </si>
  <si>
    <t>111.222.333-44</t>
  </si>
  <si>
    <t>15/04/1990</t>
  </si>
  <si>
    <t>Casado(a)</t>
  </si>
  <si>
    <t>lucas.melo@empresa.com</t>
  </si>
  <si>
    <t>(11) 98888-7777</t>
  </si>
  <si>
    <t>Av Paulista</t>
  </si>
  <si>
    <t>1000</t>
  </si>
  <si>
    <t>Apto 12</t>
  </si>
  <si>
    <t>Bela Vista</t>
  </si>
  <si>
    <t>Sao Paulo</t>
  </si>
  <si>
    <t>SP</t>
  </si>
  <si>
    <t>01311-100</t>
  </si>
  <si>
    <t>Maria de Melo</t>
  </si>
  <si>
    <t>Jose Silva</t>
  </si>
  <si>
    <t>1</t>
  </si>
  <si>
    <t>Nenhuma</t>
  </si>
  <si>
    <t>Brasil</t>
  </si>
  <si>
    <t>Masculino</t>
  </si>
  <si>
    <t>1.75</t>
  </si>
  <si>
    <t>Superior Completo</t>
  </si>
  <si>
    <t>Advogado</t>
  </si>
  <si>
    <t>ADV Lira Melo</t>
  </si>
  <si>
    <t>123.45678.90-1</t>
  </si>
  <si>
    <t>98765</t>
  </si>
  <si>
    <t>001-A</t>
  </si>
  <si>
    <t>10/10/2015</t>
  </si>
  <si>
    <t>01/03/2026</t>
  </si>
  <si>
    <t>Advogado Pleno</t>
  </si>
  <si>
    <t>Contencioso</t>
  </si>
  <si>
    <t>Dr. Lira Melo</t>
  </si>
  <si>
    <t>Audiencias e peticoes</t>
  </si>
  <si>
    <t>Sim</t>
  </si>
  <si>
    <t>F0002</t>
  </si>
  <si>
    <t>Camila Lira Santos</t>
  </si>
  <si>
    <t>22.333.444-5</t>
  </si>
  <si>
    <t>222.333.444-55</t>
  </si>
  <si>
    <t>22/08/1993</t>
  </si>
  <si>
    <t>Solteiro(a)</t>
  </si>
  <si>
    <t>camila.lira@empresa.com</t>
  </si>
  <si>
    <t>(11) 97777-6666</t>
  </si>
  <si>
    <t>Rua Augusta</t>
  </si>
  <si>
    <t>500</t>
  </si>
  <si>
    <t>Consolacao</t>
  </si>
  <si>
    <t>01305-000</t>
  </si>
  <si>
    <t>Ana Lira</t>
  </si>
  <si>
    <t>Carlos Santos</t>
  </si>
  <si>
    <t>0</t>
  </si>
  <si>
    <t>Ficha limpa</t>
  </si>
  <si>
    <t>Feminino</t>
  </si>
  <si>
    <t>1.65</t>
  </si>
  <si>
    <t>Pós-Graduação</t>
  </si>
  <si>
    <t>Controller</t>
  </si>
  <si>
    <t>234.56789.01-2</t>
  </si>
  <si>
    <t>87654</t>
  </si>
  <si>
    <t>002-B</t>
  </si>
  <si>
    <t>12/11/2016</t>
  </si>
  <si>
    <t>15/04/2026</t>
  </si>
  <si>
    <t>Controller Juridico</t>
  </si>
  <si>
    <t>Administrativo</t>
  </si>
  <si>
    <t>Fluxo de caixa e relatorios</t>
  </si>
  <si>
    <t>F0003</t>
  </si>
  <si>
    <t>Felipe Santos Oliveira</t>
  </si>
  <si>
    <t>33.444.555-6</t>
  </si>
  <si>
    <t>333.444.555-66</t>
  </si>
  <si>
    <t>10/12/1988</t>
  </si>
  <si>
    <t>felipe.santos@empresa.com</t>
  </si>
  <si>
    <t>(11) 96666-5555</t>
  </si>
  <si>
    <t>Av Consolacao</t>
  </si>
  <si>
    <t>2000</t>
  </si>
  <si>
    <t>Sala 3</t>
  </si>
  <si>
    <t>Cerqueira Cesar</t>
  </si>
  <si>
    <t>01416-000</t>
  </si>
  <si>
    <t>Julia Santos</t>
  </si>
  <si>
    <t>Marcos Oliveira</t>
  </si>
  <si>
    <t>2</t>
  </si>
  <si>
    <t>Destaque do ano</t>
  </si>
  <si>
    <t>1.80</t>
  </si>
  <si>
    <t>TI Specialist</t>
  </si>
  <si>
    <t>345.67890.12-3</t>
  </si>
  <si>
    <t>76543</t>
  </si>
  <si>
    <t>003-C</t>
  </si>
  <si>
    <t>05/05/2018</t>
  </si>
  <si>
    <t>01/05/2026</t>
  </si>
  <si>
    <t>Analista de TI</t>
  </si>
  <si>
    <t>TI</t>
  </si>
  <si>
    <t>Suporte a servidores e rede</t>
  </si>
  <si>
    <t>F0004</t>
  </si>
  <si>
    <t>Juliana Ribeiro Costa</t>
  </si>
  <si>
    <t>44.555.666-7</t>
  </si>
  <si>
    <t>444.555.666-77</t>
  </si>
  <si>
    <t>05/02/1995</t>
  </si>
  <si>
    <t>juliana.costa@empresa.com</t>
  </si>
  <si>
    <t>(11) 95555-4444</t>
  </si>
  <si>
    <t>Alameda Santos</t>
  </si>
  <si>
    <t>800</t>
  </si>
  <si>
    <t>Apto 84</t>
  </si>
  <si>
    <t>Jardins</t>
  </si>
  <si>
    <t>01419-001</t>
  </si>
  <si>
    <t>Lucia Ribeiro</t>
  </si>
  <si>
    <t>Paulo Costa</t>
  </si>
  <si>
    <t>1.68</t>
  </si>
  <si>
    <t>Superior Incompleto</t>
  </si>
  <si>
    <t>Estagiaria</t>
  </si>
  <si>
    <t>456.78901.23-4</t>
  </si>
  <si>
    <t>65432</t>
  </si>
  <si>
    <t>004-D</t>
  </si>
  <si>
    <t>20/01/2020</t>
  </si>
  <si>
    <t>01/06/2026</t>
  </si>
  <si>
    <t>Estagiario</t>
  </si>
  <si>
    <t>Apoio a peticoes e arquivo</t>
  </si>
  <si>
    <t>F0005</t>
  </si>
  <si>
    <t>Bruno Souza Lima</t>
  </si>
  <si>
    <t>55.666.777-8</t>
  </si>
  <si>
    <t>555.666.777-88</t>
  </si>
  <si>
    <t>30/09/1985</t>
  </si>
  <si>
    <t>Divorciado(a)</t>
  </si>
  <si>
    <t>bruno.lima@empresa.com</t>
  </si>
  <si>
    <t>(11) 94444-3333</t>
  </si>
  <si>
    <t>Rua Pamplona</t>
  </si>
  <si>
    <t>1200</t>
  </si>
  <si>
    <t>Jardim Paulista</t>
  </si>
  <si>
    <t>01405-001</t>
  </si>
  <si>
    <t>Beatriz Souza</t>
  </si>
  <si>
    <t>Andre Lima</t>
  </si>
  <si>
    <t>Diligente</t>
  </si>
  <si>
    <t>1.78</t>
  </si>
  <si>
    <t>Gerente RH</t>
  </si>
  <si>
    <t>567.89012.34-5</t>
  </si>
  <si>
    <t>54321</t>
  </si>
  <si>
    <t>005-E</t>
  </si>
  <si>
    <t>15/09/2010</t>
  </si>
  <si>
    <t>10/01/2026</t>
  </si>
  <si>
    <t>Gerente de RH</t>
  </si>
  <si>
    <t>RH</t>
  </si>
  <si>
    <t>Recrutamento e folha</t>
  </si>
  <si>
    <t>F0006</t>
  </si>
  <si>
    <t>Amanda Oliveira Mello</t>
  </si>
  <si>
    <t>66.777.888-9</t>
  </si>
  <si>
    <t>666.777.888-99</t>
  </si>
  <si>
    <t>12/03/1991</t>
  </si>
  <si>
    <t>amanda.mello@empresa.com</t>
  </si>
  <si>
    <t>(21) 99999-8888</t>
  </si>
  <si>
    <t>Av Atlantica</t>
  </si>
  <si>
    <t>400</t>
  </si>
  <si>
    <t>Cob 01</t>
  </si>
  <si>
    <t>Copacabana</t>
  </si>
  <si>
    <t>Rio de Janeiro</t>
  </si>
  <si>
    <t>RJ</t>
  </si>
  <si>
    <t>22020-002</t>
  </si>
  <si>
    <t>Carla Oliveira</t>
  </si>
  <si>
    <t>Ricardo Mello</t>
  </si>
  <si>
    <t>Home office</t>
  </si>
  <si>
    <t>1.70</t>
  </si>
  <si>
    <t>Advogada Trabalhista</t>
  </si>
  <si>
    <t>678.90123.45-6</t>
  </si>
  <si>
    <t>43210</t>
  </si>
  <si>
    <t>006-F</t>
  </si>
  <si>
    <t>02/02/2017</t>
  </si>
  <si>
    <t>01/02/2026</t>
  </si>
  <si>
    <t>Trabalhista</t>
  </si>
  <si>
    <t>Processos trabalhistas</t>
  </si>
  <si>
    <t>F0007</t>
  </si>
  <si>
    <t>Rafael Costa Rocha</t>
  </si>
  <si>
    <t>77.888.999-0</t>
  </si>
  <si>
    <t>777.888.999-00</t>
  </si>
  <si>
    <t>12/06/1994</t>
  </si>
  <si>
    <t>rafael.rocha@empresa.com</t>
  </si>
  <si>
    <t>(11) 93333-2222</t>
  </si>
  <si>
    <t>Rua Bela Cintra</t>
  </si>
  <si>
    <t>1500</t>
  </si>
  <si>
    <t>Apto 91</t>
  </si>
  <si>
    <t>01415-001</t>
  </si>
  <si>
    <t>Sandra Costa</t>
  </si>
  <si>
    <t>Arthur Rocha</t>
  </si>
  <si>
    <t>Destaque Junho</t>
  </si>
  <si>
    <t>1.76</t>
  </si>
  <si>
    <t>Analista Financeiro</t>
  </si>
  <si>
    <t>789.01234.56-7</t>
  </si>
  <si>
    <t>32109</t>
  </si>
  <si>
    <t>007-G</t>
  </si>
  <si>
    <t>18/06/2019</t>
  </si>
  <si>
    <t>01/01/2026</t>
  </si>
  <si>
    <t>Analista Financeiro Jr</t>
  </si>
  <si>
    <t>Contas a Pagar</t>
  </si>
  <si>
    <t>Controle de notas e faturas</t>
  </si>
  <si>
    <t>F0008</t>
  </si>
  <si>
    <t>Mariana Rocha Rezende</t>
  </si>
  <si>
    <t>88.999.000-1</t>
  </si>
  <si>
    <t>888.999.000-11</t>
  </si>
  <si>
    <t>25/07/1992</t>
  </si>
  <si>
    <t>mariana.rezende@empresa.com</t>
  </si>
  <si>
    <t>(31) 98888-5555</t>
  </si>
  <si>
    <t>Av Afonso Pena</t>
  </si>
  <si>
    <t>3000</t>
  </si>
  <si>
    <t>Centro</t>
  </si>
  <si>
    <t>Belo Horizonte</t>
  </si>
  <si>
    <t>MG</t>
  </si>
  <si>
    <t>30130-009</t>
  </si>
  <si>
    <t>Marta Rocha</t>
  </si>
  <si>
    <t>Eduardo Rezende</t>
  </si>
  <si>
    <t>Filial BH</t>
  </si>
  <si>
    <t>1.62</t>
  </si>
  <si>
    <t>Ensino Medio</t>
  </si>
  <si>
    <t>Secretaria</t>
  </si>
  <si>
    <t>890.12345.67-8</t>
  </si>
  <si>
    <t>21098</t>
  </si>
  <si>
    <t>008-H</t>
  </si>
  <si>
    <t>09/09/2015</t>
  </si>
  <si>
    <t>01/04/2026</t>
  </si>
  <si>
    <t>Secretaria Executiva</t>
  </si>
  <si>
    <t>Atendimento e agenda</t>
  </si>
  <si>
    <t>F0009</t>
  </si>
  <si>
    <t>Gustavo Lima Nogueira</t>
  </si>
  <si>
    <t>99.000.111-2</t>
  </si>
  <si>
    <t>999.000.111-22</t>
  </si>
  <si>
    <t>18/11/1987</t>
  </si>
  <si>
    <t>gustavo.nogueira@empresa.com</t>
  </si>
  <si>
    <t>(11) 92222-1111</t>
  </si>
  <si>
    <t>Rua Haddock Lobo</t>
  </si>
  <si>
    <t>600</t>
  </si>
  <si>
    <t>Apto 32</t>
  </si>
  <si>
    <t>01414-001</t>
  </si>
  <si>
    <t>Regina Lima</t>
  </si>
  <si>
    <t>Newton Nogueira</t>
  </si>
  <si>
    <t>3</t>
  </si>
  <si>
    <t>Pai de 3</t>
  </si>
  <si>
    <t>1.82</t>
  </si>
  <si>
    <t>Advogado Tributario</t>
  </si>
  <si>
    <t>901.23456.78-9</t>
  </si>
  <si>
    <t>10987</t>
  </si>
  <si>
    <t>009-I</t>
  </si>
  <si>
    <t>30/11/2012</t>
  </si>
  <si>
    <t>Advogado Senior</t>
  </si>
  <si>
    <t>Tributario</t>
  </si>
  <si>
    <t>Pareceres e defesas fiscais</t>
  </si>
  <si>
    <t>F0010</t>
  </si>
  <si>
    <t>Beatriz Almeida Silveira</t>
  </si>
  <si>
    <t>12.345.678-9</t>
  </si>
  <si>
    <t>123.456.789-01</t>
  </si>
  <si>
    <t>03/11/1996</t>
  </si>
  <si>
    <t>beatriz.silveira@empresa.com</t>
  </si>
  <si>
    <t>(11) 91111-0000</t>
  </si>
  <si>
    <t>Rua da Consolacao</t>
  </si>
  <si>
    <t>2500</t>
  </si>
  <si>
    <t>01301-100</t>
  </si>
  <si>
    <t>Sonia Almeida</t>
  </si>
  <si>
    <t>Renato Silveira</t>
  </si>
  <si>
    <t>1.67</t>
  </si>
  <si>
    <t>Ensino Tecnico</t>
  </si>
  <si>
    <t>Auxiliar RH</t>
  </si>
  <si>
    <t>012.34567.89-0</t>
  </si>
  <si>
    <t>09876</t>
  </si>
  <si>
    <t>010-J</t>
  </si>
  <si>
    <t>12/12/2021</t>
  </si>
  <si>
    <t>15/05/2026</t>
  </si>
  <si>
    <t>Auxiliar de RH</t>
  </si>
  <si>
    <t>Controle de ponto e arquivos</t>
  </si>
  <si>
    <t>Nome</t>
  </si>
  <si>
    <t>Tipo</t>
  </si>
  <si>
    <t>Data</t>
  </si>
  <si>
    <t>Horas Extras</t>
  </si>
  <si>
    <t>Horas Atraso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</si>
</sst>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"/>
      <sz val="12"/>
      <name val="Segoe UI"/>
    </font>
    <font>
      <b/>
      <color rgb="FFFFFF"/>
      <sz val="14"/>
      <name val="Segoe UI"/>
    </font>
    <font>
      <b/>
      <color rgb="38BDF8"/>
      <sz val="10"/>
      <name val="Segoe UI"/>
    </font>
    <font>
      <b/>
      <color rgb="64748B"/>
      <sz val="9"/>
      <name val="Segoe UI"/>
    </font>
    <font>
      <b/>
      <color rgb="1B365D"/>
      <sz val="20"/>
      <name val="Segoe UI"/>
    </font>
    <font>
      <color rgb="F8FAFC"/>
      <sz val="10"/>
      <name val="Segoe UI"/>
    </font>
    <font>
      <b/>
      <color rgb="334155"/>
      <sz val="10"/>
      <name val="Segoe UI"/>
    </font>
    <font>
      <i/>
      <color rgb="64748B"/>
      <sz val="10"/>
      <name val="Segoe UI"/>
    </font>
    <font>
      <b/>
      <color rgb="475569"/>
      <sz val="9"/>
      <name val="Segoe UI"/>
    </font>
    <font>
      <color rgb="1E293B"/>
      <sz val="10"/>
      <name val="Segoe UI"/>
    </font>
    <font>
      <b/>
      <color rgb="FFFFFF"/>
      <sz val="10"/>
      <name val="Segoe UI"/>
    </font>
    <font>
      <b/>
      <color rgb="475569"/>
      <sz val="10"/>
      <name val="Segoe UI"/>
    </font>
    <font>
      <b/>
    </font>
  </fonts>
  <fills count="10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1B365D"/>
      </patternFill>
    </fill>
    <fill>
      <patternFill patternType="solid">
        <fgColor rgb="334155"/>
      </patternFill>
    </fill>
    <fill>
      <patternFill patternType="solid">
        <fgColor rgb="E2E8F0"/>
      </patternFill>
    </fill>
    <fill>
      <patternFill patternType="solid">
        <fgColor rgb="F1F5F9"/>
      </patternFill>
    </fill>
    <fill>
      <patternFill patternType="solid">
        <fgColor rgb="FFFFFF"/>
      </patternFill>
    </fill>
    <fill>
      <patternFill patternType="solid">
        <fgColor rgb="475569"/>
      </patternFill>
    </fill>
    <fill>
      <patternFill patternType="solid">
        <fgColor rgb="F8FAFC"/>
      </patternFill>
    </fill>
  </fills>
  <borders count="4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0284C7"/>
      </left>
      <right style="thin">
        <color rgb="0284C7"/>
      </right>
      <top style="thin">
        <color rgb="0284C7"/>
      </top>
      <bottom style="thin">
        <color rgb="0284C7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7" borderId="2" xfId="0" applyFill="1" applyBorder="1"/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right" vertical="center"/>
    </xf>
    <xf numFmtId="0" fontId="10" fillId="7" borderId="1" xfId="0" applyFont="1" applyFill="1" applyBorder="1" applyAlignment="1">
      <alignment horizontal="left" vertical="center"/>
    </xf>
    <xf numFmtId="0" fontId="7" fillId="5" borderId="0" xfId="0" applyFont="1" applyFill="1" applyAlignment="1">
      <alignment horizontal="center" vertical="center"/>
    </xf>
    <xf numFmtId="0" fontId="10" fillId="7" borderId="1" xfId="0" applyFont="1" applyFill="1" applyBorder="1" applyAlignment="1">
      <alignment horizontal="left" vertical="top" wrapText="1"/>
    </xf>
    <xf numFmtId="0" fontId="11" fillId="8" borderId="0" xfId="0" applyFont="1" applyFill="1" applyAlignment="1">
      <alignment horizontal="center" vertical="center"/>
    </xf>
    <xf numFmtId="0" fontId="10" fillId="7" borderId="2" xfId="0" applyFont="1" applyFill="1" applyBorder="1"/>
    <xf numFmtId="0" fontId="11" fillId="4" borderId="0" xfId="0" applyFont="1" applyFill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10" fillId="9" borderId="3" xfId="0" applyFont="1" applyFill="1" applyBorder="1" applyAlignment="1">
      <alignment horizontal="left" vertical="center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FormatPr defaultRowHeight="15" outlineLevelRow="0" outlineLevelCol="0" x14ac:dyDescent="55"/>
  <cols>
    <col min="1" max="1" width="6" customWidth="1"/>
    <col min="2" max="2" width="12" customWidth="1"/>
    <col min="3" max="3" width="6" customWidth="1"/>
    <col min="4" max="4" width="3" customWidth="1"/>
    <col min="17" max="18" width="2" customWidth="1"/>
  </cols>
  <sheetData>
    <row r="1" spans="1:3" x14ac:dyDescent="0.25">
      <c r="A1" s="1"/>
      <c r="B1" s="1"/>
      <c r="C1" s="1"/>
    </row>
    <row r="2" spans="1:18" x14ac:dyDescent="0.25">
      <c r="A2" s="2" t="s">
        <v>0</v>
      </c>
      <c r="B2" s="2"/>
      <c r="C2" s="2"/>
      <c r="E2" s="3" t="s">
        <v>1</v>
      </c>
      <c r="F2" s="3"/>
      <c r="G2" s="3"/>
      <c r="H2" s="3"/>
      <c r="I2" s="3"/>
      <c r="J2" s="3"/>
      <c r="K2" s="3"/>
      <c r="L2" s="3"/>
      <c r="M2" s="3"/>
      <c r="N2" s="3"/>
      <c r="O2" s="3"/>
      <c r="Q2" t="s">
        <v>2</v>
      </c>
      <c r="R2" t="s">
        <v>3</v>
      </c>
    </row>
    <row r="3" spans="1:18" x14ac:dyDescent="0.25">
      <c r="A3" s="2"/>
      <c r="B3" s="2"/>
      <c r="C3" s="2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Q3" t="s">
        <v>4</v>
      </c>
      <c r="R3">
        <f>=COUNTIF(DB_FUNCIONARIOS!AN2:AN5000, "Diretoria")</f>
      </c>
    </row>
    <row r="4" spans="1:18" x14ac:dyDescent="0.25">
      <c r="A4" s="1"/>
      <c r="B4" s="1"/>
      <c r="C4" s="1"/>
      <c r="Q4" t="s">
        <v>5</v>
      </c>
      <c r="R4">
        <f>=COUNTIF(DB_FUNCIONARIOS!AN2:AN5000, "Recursos Humanos")</f>
      </c>
    </row>
    <row r="5" spans="1:18" x14ac:dyDescent="0.25">
      <c r="A5" s="4" t="s">
        <v>6</v>
      </c>
      <c r="B5" s="4"/>
      <c r="C5" s="4"/>
      <c r="E5" s="5" t="s">
        <v>7</v>
      </c>
      <c r="F5" s="5"/>
      <c r="H5" s="5" t="s">
        <v>8</v>
      </c>
      <c r="I5" s="5"/>
      <c r="K5" s="5" t="s">
        <v>9</v>
      </c>
      <c r="L5" s="5"/>
      <c r="N5" s="5" t="s">
        <v>10</v>
      </c>
      <c r="O5" s="5"/>
      <c r="Q5" t="s">
        <v>11</v>
      </c>
      <c r="R5">
        <f>=COUNTIF(DB_FUNCIONARIOS!AN2:AN5000, "Juridico")</f>
      </c>
    </row>
    <row r="6" spans="1:18" x14ac:dyDescent="0.25">
      <c r="A6" s="1"/>
      <c r="B6" s="1"/>
      <c r="C6" s="1"/>
      <c r="E6" s="6">
        <f>=COUNTIF(DB_FUNCIONARIOS!AZ2:AZ5000, "Ativo")</f>
      </c>
      <c r="F6" s="6"/>
      <c r="H6" s="6">
        <f>=COUNTIF(DB_FUNCIONARIOS!AZ2:AZ5000, "Afastado")</f>
      </c>
      <c r="I6" s="6"/>
      <c r="K6" s="6">
        <f>=COUNTIF(DB_FUNCIONARIOS!AL2:AL5000, "&gt;=01/01/2026")</f>
      </c>
      <c r="L6" s="6"/>
      <c r="N6" s="6">
        <f>=COUNTIF(DB_FUNCIONARIOS!AZ2:AZ5000, "Desligado")</f>
      </c>
      <c r="O6" s="6"/>
      <c r="Q6" t="s">
        <v>12</v>
      </c>
      <c r="R6">
        <f>=COUNTIF(DB_FUNCIONARIOS!AN2:AN5000, "Operacional")</f>
      </c>
    </row>
    <row r="7" spans="1:18" x14ac:dyDescent="0.25">
      <c r="A7" s="7" t="s">
        <v>13</v>
      </c>
      <c r="B7" s="7"/>
      <c r="C7" s="7"/>
      <c r="E7" s="6"/>
      <c r="F7" s="6"/>
      <c r="H7" s="6"/>
      <c r="I7" s="6"/>
      <c r="K7" s="6"/>
      <c r="L7" s="6"/>
      <c r="N7" s="6"/>
      <c r="O7" s="6"/>
      <c r="Q7" t="s">
        <v>14</v>
      </c>
      <c r="R7">
        <f>=COUNTIF(DB_FUNCIONARIOS!AN2:AN5000, "Financeiro")</f>
      </c>
    </row>
    <row r="8" spans="1:18" x14ac:dyDescent="0.25">
      <c r="A8" s="1"/>
      <c r="B8" s="1"/>
      <c r="C8" s="1"/>
      <c r="E8" s="6"/>
      <c r="F8" s="6"/>
      <c r="H8" s="6"/>
      <c r="I8" s="6"/>
      <c r="K8" s="6"/>
      <c r="L8" s="6"/>
      <c r="N8" s="6"/>
      <c r="O8" s="6"/>
      <c r="Q8" t="s">
        <v>15</v>
      </c>
      <c r="R8">
        <f>=COUNTIF(DB_FUNCIONARIOS!AN2:AN5000, "Tecnologia")</f>
      </c>
    </row>
    <row r="9" spans="1:3" x14ac:dyDescent="0.25">
      <c r="A9" s="7" t="s">
        <v>16</v>
      </c>
      <c r="B9" s="7"/>
      <c r="C9" s="7"/>
    </row>
    <row r="10" spans="1:18" x14ac:dyDescent="0.25">
      <c r="A10" s="1"/>
      <c r="B10" s="1"/>
      <c r="C10" s="1"/>
      <c r="Q10" t="s">
        <v>17</v>
      </c>
      <c r="R10" t="s">
        <v>18</v>
      </c>
    </row>
    <row r="11" spans="1:18" x14ac:dyDescent="0.25">
      <c r="A11" s="7" t="s">
        <v>19</v>
      </c>
      <c r="B11" s="7"/>
      <c r="C11" s="7"/>
      <c r="Q11" t="s">
        <v>20</v>
      </c>
      <c r="R11">
        <f>=COUNTIF(DB_FUNCIONARIOS!AZ2:AZ5000, "Ativo")</f>
      </c>
    </row>
    <row r="12" spans="1:18" x14ac:dyDescent="0.25">
      <c r="A12" s="1"/>
      <c r="B12" s="1"/>
      <c r="C12" s="1"/>
      <c r="Q12" t="s">
        <v>21</v>
      </c>
      <c r="R12">
        <f>=COUNTIF(DB_FUNCIONARIOS!AZ2:AZ5000, "Afastado")</f>
      </c>
    </row>
    <row r="13" spans="1:18" x14ac:dyDescent="0.25">
      <c r="A13" s="7" t="s">
        <v>22</v>
      </c>
      <c r="B13" s="7"/>
      <c r="C13" s="7"/>
      <c r="Q13" t="s">
        <v>23</v>
      </c>
      <c r="R13">
        <f>=COUNTIF(DB_FUNCIONARIOS!AZ2:AZ5000, "Desligado")</f>
      </c>
    </row>
    <row r="14" spans="1:3" x14ac:dyDescent="0.25">
      <c r="A14" s="1"/>
      <c r="B14" s="1"/>
      <c r="C14" s="1"/>
    </row>
    <row r="15" spans="1:3" x14ac:dyDescent="0.25">
      <c r="A15" s="7" t="s">
        <v>24</v>
      </c>
      <c r="B15" s="7"/>
      <c r="C15" s="7"/>
    </row>
    <row r="16" spans="1:3" x14ac:dyDescent="0.25">
      <c r="A16" s="1"/>
      <c r="B16" s="1"/>
      <c r="C16" s="1"/>
    </row>
    <row r="17" spans="1:3" x14ac:dyDescent="0.25">
      <c r="A17" s="1"/>
      <c r="B17" s="1"/>
      <c r="C17" s="1"/>
    </row>
    <row r="18" spans="1:3" x14ac:dyDescent="0.25">
      <c r="A18" s="1"/>
      <c r="B18" s="1"/>
      <c r="C18" s="1"/>
    </row>
    <row r="19" spans="1:3" x14ac:dyDescent="0.25">
      <c r="A19" s="1"/>
      <c r="B19" s="1"/>
      <c r="C19" s="1"/>
    </row>
    <row r="20" spans="1:3" x14ac:dyDescent="0.25">
      <c r="A20" s="1"/>
      <c r="B20" s="1"/>
      <c r="C20" s="1"/>
    </row>
    <row r="21" spans="1:3" x14ac:dyDescent="0.25">
      <c r="A21" s="1"/>
      <c r="B21" s="1"/>
      <c r="C21" s="1"/>
    </row>
    <row r="22" spans="1:3" x14ac:dyDescent="0.25">
      <c r="A22" s="7" t="s">
        <v>25</v>
      </c>
      <c r="B22" s="7"/>
      <c r="C22" s="7"/>
    </row>
    <row r="23" spans="1:3" x14ac:dyDescent="0.25">
      <c r="A23" s="1"/>
      <c r="B23" s="1"/>
      <c r="C23" s="1"/>
    </row>
    <row r="24" spans="1:3" x14ac:dyDescent="0.25">
      <c r="A24" s="1"/>
      <c r="B24" s="1"/>
      <c r="C24" s="1"/>
    </row>
    <row r="25" spans="1:3" x14ac:dyDescent="0.25">
      <c r="A25" s="1"/>
      <c r="B25" s="1"/>
      <c r="C25" s="1"/>
    </row>
    <row r="26" spans="1:3" x14ac:dyDescent="0.25">
      <c r="A26" s="1"/>
      <c r="B26" s="1"/>
      <c r="C26" s="1"/>
    </row>
    <row r="27" spans="1:3" x14ac:dyDescent="0.25">
      <c r="A27" s="1"/>
      <c r="B27" s="1"/>
      <c r="C27" s="1"/>
    </row>
    <row r="28" spans="1:3" x14ac:dyDescent="0.25">
      <c r="A28" s="1"/>
      <c r="B28" s="1"/>
      <c r="C28" s="1"/>
    </row>
    <row r="29" spans="1:3" x14ac:dyDescent="0.25">
      <c r="A29" s="1"/>
      <c r="B29" s="1"/>
      <c r="C29" s="1"/>
    </row>
    <row r="30" spans="1:3" x14ac:dyDescent="0.25">
      <c r="A30" s="1"/>
      <c r="B30" s="1"/>
      <c r="C30" s="1"/>
    </row>
    <row r="31" spans="1:3" x14ac:dyDescent="0.25">
      <c r="A31" s="1"/>
      <c r="B31" s="1"/>
      <c r="C31" s="1"/>
    </row>
    <row r="32" spans="1:3" x14ac:dyDescent="0.25">
      <c r="A32" s="1"/>
      <c r="B32" s="1"/>
      <c r="C32" s="1"/>
    </row>
    <row r="33" spans="1:3" x14ac:dyDescent="0.25">
      <c r="A33" s="1"/>
      <c r="B33" s="1"/>
      <c r="C33" s="1"/>
    </row>
    <row r="34" spans="1:3" x14ac:dyDescent="0.25">
      <c r="A34" s="1"/>
      <c r="B34" s="1"/>
      <c r="C34" s="1"/>
    </row>
    <row r="35" spans="1:3" x14ac:dyDescent="0.25">
      <c r="A35" s="1"/>
      <c r="B35" s="1"/>
      <c r="C35" s="1"/>
    </row>
    <row r="36" spans="1:3" x14ac:dyDescent="0.25">
      <c r="A36" s="1"/>
      <c r="B36" s="1"/>
      <c r="C36" s="1"/>
    </row>
    <row r="37" spans="1:3" x14ac:dyDescent="0.25">
      <c r="A37" s="1"/>
      <c r="B37" s="1"/>
      <c r="C37" s="1"/>
    </row>
    <row r="38" ht="30" customHeight="1" spans="1:3" x14ac:dyDescent="0.25">
      <c r="A38" s="1"/>
      <c r="B38" s="1"/>
      <c r="C38" s="1"/>
    </row>
    <row r="39" spans="1:3" x14ac:dyDescent="0.25">
      <c r="A39" s="1"/>
      <c r="B39" s="1"/>
      <c r="C39" s="1"/>
    </row>
    <row r="40" spans="1:3" x14ac:dyDescent="0.25">
      <c r="A40" s="1"/>
      <c r="B40" s="1"/>
      <c r="C40" s="1"/>
    </row>
    <row r="41" spans="1:3" x14ac:dyDescent="0.25">
      <c r="A41" s="1"/>
      <c r="B41" s="1"/>
      <c r="C41" s="1"/>
    </row>
    <row r="42" spans="1:3" x14ac:dyDescent="0.25">
      <c r="A42" s="1"/>
      <c r="B42" s="1"/>
      <c r="C42" s="1"/>
    </row>
    <row r="43" spans="1:3" x14ac:dyDescent="0.25">
      <c r="A43" s="1"/>
      <c r="B43" s="1"/>
      <c r="C43" s="1"/>
    </row>
    <row r="44" spans="1:3" x14ac:dyDescent="0.25">
      <c r="A44" s="1"/>
      <c r="B44" s="1"/>
      <c r="C44" s="1"/>
    </row>
    <row r="45" spans="1:3" x14ac:dyDescent="0.25">
      <c r="A45" s="1"/>
      <c r="B45" s="1"/>
      <c r="C45" s="1"/>
    </row>
  </sheetData>
  <mergeCells count="17">
    <mergeCell ref="A2:C3"/>
    <mergeCell ref="E2:O3"/>
    <mergeCell ref="A5:C5"/>
    <mergeCell ref="E5:F5"/>
    <mergeCell ref="H5:I5"/>
    <mergeCell ref="K5:L5"/>
    <mergeCell ref="N5:O5"/>
    <mergeCell ref="E6:F8"/>
    <mergeCell ref="H6:I8"/>
    <mergeCell ref="K6:L8"/>
    <mergeCell ref="N6:O8"/>
    <mergeCell ref="A7:C7"/>
    <mergeCell ref="A9:C9"/>
    <mergeCell ref="A11:C11"/>
    <mergeCell ref="A13:C13"/>
    <mergeCell ref="A15:C15"/>
    <mergeCell ref="A22:C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FormatPr defaultRowHeight="15" outlineLevelRow="0" outlineLevelCol="0" x14ac:dyDescent="55"/>
  <cols>
    <col min="1" max="1" width="6" customWidth="1"/>
    <col min="2" max="2" width="12" customWidth="1"/>
    <col min="3" max="3" width="6" customWidth="1"/>
    <col min="4" max="4" width="3" customWidth="1"/>
    <col min="5" max="5" width="16" customWidth="1"/>
    <col min="6" max="8" width="10" customWidth="1"/>
    <col min="9" max="10" width="3" customWidth="1"/>
    <col min="11" max="11" width="18" customWidth="1"/>
    <col min="12" max="15" width="10" customWidth="1"/>
  </cols>
  <sheetData>
    <row r="1" spans="1:3" x14ac:dyDescent="0.25">
      <c r="A1" s="1"/>
      <c r="B1" s="1"/>
      <c r="C1" s="1"/>
    </row>
    <row r="2" spans="1:15" x14ac:dyDescent="0.25">
      <c r="A2" s="2" t="s">
        <v>0</v>
      </c>
      <c r="B2" s="2"/>
      <c r="C2" s="2"/>
      <c r="E2" s="3" t="s">
        <v>26</v>
      </c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/>
      <c r="B3" s="2"/>
      <c r="C3" s="2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3" x14ac:dyDescent="0.25">
      <c r="A4" s="1"/>
      <c r="B4" s="1"/>
      <c r="C4" s="1"/>
    </row>
    <row r="5" spans="1:15" x14ac:dyDescent="0.25">
      <c r="A5" s="7" t="s">
        <v>6</v>
      </c>
      <c r="B5" s="7"/>
      <c r="C5" s="7"/>
      <c r="E5" s="8" t="s">
        <v>27</v>
      </c>
      <c r="F5" s="9" t="s">
        <v>28</v>
      </c>
      <c r="G5" s="9"/>
      <c r="H5" s="9"/>
      <c r="J5" s="10" t="s">
        <v>29</v>
      </c>
      <c r="K5" s="10"/>
      <c r="L5" s="10"/>
      <c r="M5" s="10"/>
      <c r="N5" s="10"/>
      <c r="O5" s="10"/>
    </row>
    <row r="6" spans="1:3" x14ac:dyDescent="0.25">
      <c r="A6" s="1"/>
      <c r="B6" s="1"/>
      <c r="C6" s="1"/>
    </row>
    <row r="7" spans="1:3" x14ac:dyDescent="0.25">
      <c r="A7" s="4" t="s">
        <v>13</v>
      </c>
      <c r="B7" s="4"/>
      <c r="C7" s="4"/>
    </row>
    <row r="8" spans="1:8" x14ac:dyDescent="0.25">
      <c r="A8" s="1"/>
      <c r="B8" s="1"/>
      <c r="C8" s="1"/>
      <c r="E8" s="11" t="s">
        <v>30</v>
      </c>
      <c r="F8" s="12"/>
      <c r="G8" s="12"/>
      <c r="H8" s="12"/>
    </row>
    <row r="9" spans="1:8" x14ac:dyDescent="0.25">
      <c r="A9" s="7" t="s">
        <v>16</v>
      </c>
      <c r="B9" s="7"/>
      <c r="C9" s="7"/>
      <c r="E9" s="11" t="s">
        <v>31</v>
      </c>
      <c r="F9" s="12"/>
      <c r="G9" s="12"/>
      <c r="H9" s="12"/>
    </row>
    <row r="10" spans="1:8" x14ac:dyDescent="0.25">
      <c r="A10" s="1"/>
      <c r="B10" s="1"/>
      <c r="C10" s="1"/>
      <c r="E10" s="11" t="s">
        <v>32</v>
      </c>
      <c r="F10" s="12"/>
      <c r="G10" s="12"/>
      <c r="H10" s="12"/>
    </row>
    <row r="11" spans="1:8" x14ac:dyDescent="0.25">
      <c r="A11" s="7" t="s">
        <v>19</v>
      </c>
      <c r="B11" s="7"/>
      <c r="C11" s="7"/>
      <c r="E11" s="11" t="s">
        <v>33</v>
      </c>
      <c r="F11" s="12"/>
      <c r="G11" s="12"/>
      <c r="H11" s="12"/>
    </row>
    <row r="12" spans="1:8" x14ac:dyDescent="0.25">
      <c r="A12" s="1"/>
      <c r="B12" s="1"/>
      <c r="C12" s="1"/>
      <c r="E12" s="11" t="s">
        <v>34</v>
      </c>
      <c r="F12" s="12"/>
      <c r="G12" s="12"/>
      <c r="H12" s="12"/>
    </row>
    <row r="13" spans="1:8" x14ac:dyDescent="0.25">
      <c r="A13" s="7" t="s">
        <v>22</v>
      </c>
      <c r="B13" s="7"/>
      <c r="C13" s="7"/>
      <c r="E13" s="11" t="s">
        <v>35</v>
      </c>
      <c r="F13" s="12"/>
      <c r="G13" s="12"/>
      <c r="H13" s="12"/>
    </row>
    <row r="14" spans="1:8" x14ac:dyDescent="0.25">
      <c r="A14" s="1"/>
      <c r="B14" s="1"/>
      <c r="C14" s="1"/>
      <c r="E14" s="11" t="s">
        <v>36</v>
      </c>
      <c r="F14" s="12"/>
      <c r="G14" s="12"/>
      <c r="H14" s="12"/>
    </row>
    <row r="15" spans="1:8" x14ac:dyDescent="0.25">
      <c r="A15" s="7" t="s">
        <v>24</v>
      </c>
      <c r="B15" s="7"/>
      <c r="C15" s="7"/>
      <c r="E15" s="11" t="s">
        <v>37</v>
      </c>
      <c r="F15" s="12"/>
      <c r="G15" s="12"/>
      <c r="H15" s="12"/>
    </row>
    <row r="16" spans="1:15" x14ac:dyDescent="0.25">
      <c r="A16" s="1"/>
      <c r="B16" s="1"/>
      <c r="C16" s="1"/>
      <c r="E16" s="11" t="s">
        <v>38</v>
      </c>
      <c r="F16" s="12"/>
      <c r="G16" s="12"/>
      <c r="H16" s="12"/>
      <c r="K16" s="11" t="s">
        <v>39</v>
      </c>
      <c r="L16" s="12"/>
      <c r="M16" s="12"/>
      <c r="N16" s="12"/>
      <c r="O16" s="12"/>
    </row>
    <row r="17" spans="1:15" x14ac:dyDescent="0.25">
      <c r="A17" s="1"/>
      <c r="B17" s="1"/>
      <c r="C17" s="1"/>
      <c r="E17" s="11" t="s">
        <v>40</v>
      </c>
      <c r="F17" s="12"/>
      <c r="G17" s="12"/>
      <c r="H17" s="12"/>
      <c r="K17" s="11" t="s">
        <v>41</v>
      </c>
      <c r="L17" s="12"/>
      <c r="M17" s="12"/>
      <c r="N17" s="12"/>
      <c r="O17" s="12"/>
    </row>
    <row r="18" spans="1:15" x14ac:dyDescent="0.25">
      <c r="A18" s="1"/>
      <c r="B18" s="1"/>
      <c r="C18" s="1"/>
      <c r="E18" s="11" t="s">
        <v>42</v>
      </c>
      <c r="F18" s="12"/>
      <c r="G18" s="12"/>
      <c r="H18" s="12"/>
      <c r="K18" s="11" t="s">
        <v>43</v>
      </c>
      <c r="L18" s="12"/>
      <c r="M18" s="12"/>
      <c r="N18" s="12"/>
      <c r="O18" s="12"/>
    </row>
    <row r="19" spans="1:15" x14ac:dyDescent="0.25">
      <c r="A19" s="1"/>
      <c r="B19" s="1"/>
      <c r="C19" s="1"/>
      <c r="E19" s="11" t="s">
        <v>44</v>
      </c>
      <c r="F19" s="12"/>
      <c r="G19" s="12"/>
      <c r="H19" s="12"/>
      <c r="K19" s="11" t="s">
        <v>45</v>
      </c>
      <c r="L19" s="12"/>
      <c r="M19" s="12"/>
      <c r="N19" s="12"/>
      <c r="O19" s="12"/>
    </row>
    <row r="20" spans="1:15" x14ac:dyDescent="0.25">
      <c r="A20" s="1"/>
      <c r="B20" s="1"/>
      <c r="C20" s="1"/>
      <c r="E20" s="11" t="s">
        <v>46</v>
      </c>
      <c r="F20" s="12"/>
      <c r="G20" s="12"/>
      <c r="H20" s="12"/>
      <c r="K20" s="11" t="s">
        <v>47</v>
      </c>
      <c r="L20" s="12"/>
      <c r="M20" s="12"/>
      <c r="N20" s="12"/>
      <c r="O20" s="12"/>
    </row>
    <row r="21" spans="1:15" x14ac:dyDescent="0.25">
      <c r="A21" s="1"/>
      <c r="B21" s="1"/>
      <c r="C21" s="1"/>
      <c r="E21" s="11" t="s">
        <v>48</v>
      </c>
      <c r="F21" s="12"/>
      <c r="G21" s="12"/>
      <c r="H21" s="12"/>
      <c r="K21" s="11" t="s">
        <v>49</v>
      </c>
      <c r="L21" s="12"/>
      <c r="M21" s="12"/>
      <c r="N21" s="12"/>
      <c r="O21" s="12"/>
    </row>
    <row r="22" spans="1:15" x14ac:dyDescent="0.25">
      <c r="A22" s="7" t="s">
        <v>25</v>
      </c>
      <c r="B22" s="7"/>
      <c r="C22" s="7"/>
      <c r="E22" s="11" t="s">
        <v>50</v>
      </c>
      <c r="F22" s="12"/>
      <c r="G22" s="12"/>
      <c r="H22" s="12"/>
      <c r="K22" s="11" t="s">
        <v>51</v>
      </c>
      <c r="L22" s="12"/>
      <c r="M22" s="12"/>
      <c r="N22" s="12"/>
      <c r="O22" s="12"/>
    </row>
    <row r="23" spans="1:15" x14ac:dyDescent="0.25">
      <c r="A23" s="1"/>
      <c r="B23" s="1"/>
      <c r="C23" s="1"/>
      <c r="E23" s="11" t="s">
        <v>52</v>
      </c>
      <c r="F23" s="12"/>
      <c r="G23" s="12"/>
      <c r="H23" s="12"/>
      <c r="K23" s="11" t="s">
        <v>53</v>
      </c>
      <c r="L23" s="12"/>
      <c r="M23" s="12"/>
      <c r="N23" s="12"/>
      <c r="O23" s="12"/>
    </row>
    <row r="24" spans="1:15" x14ac:dyDescent="0.25">
      <c r="A24" s="1"/>
      <c r="B24" s="1"/>
      <c r="C24" s="1"/>
      <c r="E24" s="11" t="s">
        <v>54</v>
      </c>
      <c r="F24" s="12"/>
      <c r="G24" s="12"/>
      <c r="H24" s="12"/>
      <c r="K24" s="11" t="s">
        <v>55</v>
      </c>
      <c r="L24" s="12"/>
      <c r="M24" s="12"/>
      <c r="N24" s="12"/>
      <c r="O24" s="12"/>
    </row>
    <row r="25" spans="1:15" x14ac:dyDescent="0.25">
      <c r="A25" s="1"/>
      <c r="B25" s="1"/>
      <c r="C25" s="1"/>
      <c r="E25" s="11" t="s">
        <v>56</v>
      </c>
      <c r="F25" s="12"/>
      <c r="G25" s="12"/>
      <c r="H25" s="12"/>
      <c r="K25" s="11" t="s">
        <v>57</v>
      </c>
      <c r="L25" s="12"/>
      <c r="M25" s="12"/>
      <c r="N25" s="12"/>
      <c r="O25" s="12"/>
    </row>
    <row r="26" spans="1:15" x14ac:dyDescent="0.25">
      <c r="A26" s="1"/>
      <c r="B26" s="1"/>
      <c r="C26" s="1"/>
      <c r="K26" s="11" t="s">
        <v>58</v>
      </c>
      <c r="L26" s="12"/>
      <c r="M26" s="12"/>
      <c r="N26" s="12"/>
      <c r="O26" s="12"/>
    </row>
    <row r="27" spans="1:15" x14ac:dyDescent="0.25">
      <c r="A27" s="1"/>
      <c r="B27" s="1"/>
      <c r="C27" s="1"/>
      <c r="K27" s="11" t="s">
        <v>59</v>
      </c>
      <c r="L27" s="12"/>
      <c r="M27" s="12"/>
      <c r="N27" s="12"/>
      <c r="O27" s="12"/>
    </row>
    <row r="28" spans="1:3" x14ac:dyDescent="0.25">
      <c r="A28" s="1"/>
      <c r="B28" s="1"/>
      <c r="C28" s="1"/>
    </row>
    <row r="29" spans="1:15" x14ac:dyDescent="0.25">
      <c r="A29" s="1"/>
      <c r="B29" s="1"/>
      <c r="C29" s="1"/>
      <c r="E29" s="13" t="s">
        <v>60</v>
      </c>
      <c r="F29" s="13"/>
      <c r="G29" s="13"/>
      <c r="H29" s="13"/>
      <c r="I29" s="13"/>
      <c r="J29" s="13"/>
      <c r="K29" s="13"/>
      <c r="L29" s="13"/>
      <c r="M29" s="13"/>
      <c r="N29" s="13"/>
      <c r="O29" s="13"/>
    </row>
    <row r="30" spans="1:3" x14ac:dyDescent="0.25">
      <c r="A30" s="1"/>
      <c r="B30" s="1"/>
      <c r="C30" s="1"/>
    </row>
    <row r="31" spans="1:15" x14ac:dyDescent="0.25">
      <c r="A31" s="1"/>
      <c r="B31" s="1"/>
      <c r="C31" s="1"/>
      <c r="E31" s="11" t="s">
        <v>61</v>
      </c>
      <c r="F31" s="12" t="s">
        <v>62</v>
      </c>
      <c r="G31" s="12"/>
      <c r="H31" s="12"/>
      <c r="J31" s="11" t="s">
        <v>63</v>
      </c>
      <c r="K31" s="14" t="s">
        <v>28</v>
      </c>
      <c r="L31" s="14"/>
      <c r="M31" s="14"/>
      <c r="N31" s="14"/>
      <c r="O31" s="14"/>
    </row>
    <row r="32" spans="1:15" x14ac:dyDescent="0.25">
      <c r="A32" s="1"/>
      <c r="B32" s="1"/>
      <c r="C32" s="1"/>
      <c r="E32" s="11" t="s">
        <v>64</v>
      </c>
      <c r="F32" s="12" t="s">
        <v>62</v>
      </c>
      <c r="G32" s="12"/>
      <c r="H32" s="12"/>
      <c r="K32" s="14"/>
      <c r="L32" s="14"/>
      <c r="M32" s="14"/>
      <c r="N32" s="14"/>
      <c r="O32" s="14"/>
    </row>
    <row r="33" spans="1:15" x14ac:dyDescent="0.25">
      <c r="A33" s="1"/>
      <c r="B33" s="1"/>
      <c r="C33" s="1"/>
      <c r="E33" s="11" t="s">
        <v>65</v>
      </c>
      <c r="F33" s="12" t="s">
        <v>62</v>
      </c>
      <c r="G33" s="12"/>
      <c r="H33" s="12"/>
      <c r="K33" s="14"/>
      <c r="L33" s="14"/>
      <c r="M33" s="14"/>
      <c r="N33" s="14"/>
      <c r="O33" s="14"/>
    </row>
    <row r="34" spans="1:15" x14ac:dyDescent="0.25">
      <c r="A34" s="1"/>
      <c r="B34" s="1"/>
      <c r="C34" s="1"/>
      <c r="E34" s="11" t="s">
        <v>66</v>
      </c>
      <c r="F34" s="12" t="s">
        <v>62</v>
      </c>
      <c r="G34" s="12"/>
      <c r="H34" s="12"/>
      <c r="K34" s="14"/>
      <c r="L34" s="14"/>
      <c r="M34" s="14"/>
      <c r="N34" s="14"/>
      <c r="O34" s="14"/>
    </row>
    <row r="35" spans="1:15" x14ac:dyDescent="0.25">
      <c r="A35" s="1"/>
      <c r="B35" s="1"/>
      <c r="C35" s="1"/>
      <c r="E35" s="11" t="s">
        <v>67</v>
      </c>
      <c r="F35" s="12" t="s">
        <v>62</v>
      </c>
      <c r="G35" s="12"/>
      <c r="H35" s="12"/>
      <c r="K35" s="14"/>
      <c r="L35" s="14"/>
      <c r="M35" s="14"/>
      <c r="N35" s="14"/>
      <c r="O35" s="14"/>
    </row>
    <row r="36" spans="1:15" x14ac:dyDescent="0.25">
      <c r="A36" s="1"/>
      <c r="B36" s="1"/>
      <c r="C36" s="1"/>
      <c r="E36" s="11" t="s">
        <v>68</v>
      </c>
      <c r="F36" s="12" t="s">
        <v>62</v>
      </c>
      <c r="G36" s="12"/>
      <c r="H36" s="12"/>
      <c r="K36" s="14"/>
      <c r="L36" s="14"/>
      <c r="M36" s="14"/>
      <c r="N36" s="14"/>
      <c r="O36" s="14"/>
    </row>
    <row r="37" spans="1:3" x14ac:dyDescent="0.25">
      <c r="A37" s="1"/>
      <c r="B37" s="1"/>
      <c r="C37" s="1"/>
    </row>
    <row r="38" ht="30" customHeight="1" spans="1:3" x14ac:dyDescent="0.25">
      <c r="A38" s="1"/>
      <c r="B38" s="1"/>
      <c r="C38" s="1"/>
    </row>
    <row r="39" spans="1:3" x14ac:dyDescent="0.25">
      <c r="A39" s="1"/>
      <c r="B39" s="1"/>
      <c r="C39" s="1"/>
    </row>
    <row r="40" spans="1:3" x14ac:dyDescent="0.25">
      <c r="A40" s="1"/>
      <c r="B40" s="1"/>
      <c r="C40" s="1"/>
    </row>
    <row r="41" spans="1:3" x14ac:dyDescent="0.25">
      <c r="A41" s="1"/>
      <c r="B41" s="1"/>
      <c r="C41" s="1"/>
    </row>
    <row r="42" spans="1:3" x14ac:dyDescent="0.25">
      <c r="A42" s="1"/>
      <c r="B42" s="1"/>
      <c r="C42" s="1"/>
    </row>
    <row r="43" spans="1:3" x14ac:dyDescent="0.25">
      <c r="A43" s="1"/>
      <c r="B43" s="1"/>
      <c r="C43" s="1"/>
    </row>
    <row r="44" spans="1:3" x14ac:dyDescent="0.25">
      <c r="A44" s="1"/>
      <c r="B44" s="1"/>
      <c r="C44" s="1"/>
    </row>
    <row r="45" spans="1:3" x14ac:dyDescent="0.25">
      <c r="A45" s="1"/>
      <c r="B45" s="1"/>
      <c r="C45" s="1"/>
    </row>
  </sheetData>
  <mergeCells count="49">
    <mergeCell ref="A2:C3"/>
    <mergeCell ref="E2:O3"/>
    <mergeCell ref="A5:C5"/>
    <mergeCell ref="F5:H5"/>
    <mergeCell ref="J5:O5"/>
    <mergeCell ref="A7:C7"/>
    <mergeCell ref="F8:H8"/>
    <mergeCell ref="A9:C9"/>
    <mergeCell ref="F9:H9"/>
    <mergeCell ref="F10:H10"/>
    <mergeCell ref="A11:C11"/>
    <mergeCell ref="F11:H11"/>
    <mergeCell ref="F12:H12"/>
    <mergeCell ref="A13:C13"/>
    <mergeCell ref="F13:H13"/>
    <mergeCell ref="F14:H14"/>
    <mergeCell ref="A15:C15"/>
    <mergeCell ref="F15:H15"/>
    <mergeCell ref="F16:H16"/>
    <mergeCell ref="L16:O16"/>
    <mergeCell ref="F17:H17"/>
    <mergeCell ref="L17:O17"/>
    <mergeCell ref="F18:H18"/>
    <mergeCell ref="L18:O18"/>
    <mergeCell ref="F19:H19"/>
    <mergeCell ref="L19:O19"/>
    <mergeCell ref="F20:H20"/>
    <mergeCell ref="L20:O20"/>
    <mergeCell ref="F21:H21"/>
    <mergeCell ref="L21:O21"/>
    <mergeCell ref="A22:C22"/>
    <mergeCell ref="F22:H22"/>
    <mergeCell ref="L22:O22"/>
    <mergeCell ref="F23:H23"/>
    <mergeCell ref="L23:O23"/>
    <mergeCell ref="F24:H24"/>
    <mergeCell ref="L24:O24"/>
    <mergeCell ref="F25:H25"/>
    <mergeCell ref="L25:O25"/>
    <mergeCell ref="L26:O26"/>
    <mergeCell ref="L27:O27"/>
    <mergeCell ref="E29:O29"/>
    <mergeCell ref="F31:H31"/>
    <mergeCell ref="K31:O36"/>
    <mergeCell ref="F32:H32"/>
    <mergeCell ref="F33:H33"/>
    <mergeCell ref="F34:H34"/>
    <mergeCell ref="F35:H35"/>
    <mergeCell ref="F36:H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FormatPr defaultRowHeight="15" outlineLevelRow="0" outlineLevelCol="0" x14ac:dyDescent="55"/>
  <cols>
    <col min="1" max="1" width="6" customWidth="1"/>
    <col min="2" max="2" width="12" customWidth="1"/>
    <col min="3" max="3" width="6" customWidth="1"/>
    <col min="4" max="4" width="3" customWidth="1"/>
    <col min="5" max="5" width="10" customWidth="1"/>
    <col min="6" max="6" width="25" customWidth="1"/>
    <col min="7" max="8" width="12" customWidth="1"/>
    <col min="9" max="9" width="18" customWidth="1"/>
    <col min="10" max="10" width="25" customWidth="1"/>
    <col min="11" max="11" width="12" customWidth="1"/>
  </cols>
  <sheetData>
    <row r="1" spans="1:3" x14ac:dyDescent="0.25">
      <c r="A1" s="1"/>
      <c r="B1" s="1"/>
      <c r="C1" s="1"/>
    </row>
    <row r="2" spans="1:15" x14ac:dyDescent="0.25">
      <c r="A2" s="2" t="s">
        <v>0</v>
      </c>
      <c r="B2" s="2"/>
      <c r="C2" s="2"/>
      <c r="E2" s="3" t="s">
        <v>69</v>
      </c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/>
      <c r="B3" s="2"/>
      <c r="C3" s="2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3" x14ac:dyDescent="0.25">
      <c r="A4" s="1"/>
      <c r="B4" s="1"/>
      <c r="C4" s="1"/>
    </row>
    <row r="5" spans="1:11" x14ac:dyDescent="0.25">
      <c r="A5" s="7" t="s">
        <v>6</v>
      </c>
      <c r="B5" s="7"/>
      <c r="C5" s="7"/>
      <c r="E5" s="15" t="s">
        <v>70</v>
      </c>
      <c r="F5" s="15" t="s">
        <v>71</v>
      </c>
      <c r="G5" s="15" t="s">
        <v>72</v>
      </c>
      <c r="H5" s="15" t="s">
        <v>73</v>
      </c>
      <c r="I5" s="15" t="s">
        <v>74</v>
      </c>
      <c r="J5" s="15" t="s">
        <v>75</v>
      </c>
      <c r="K5" s="15" t="s">
        <v>17</v>
      </c>
    </row>
    <row r="6" spans="1:3" x14ac:dyDescent="0.25">
      <c r="A6" s="1"/>
      <c r="B6" s="1"/>
      <c r="C6" s="1"/>
    </row>
    <row r="7" spans="1:3" x14ac:dyDescent="0.25">
      <c r="A7" s="7" t="s">
        <v>13</v>
      </c>
      <c r="B7" s="7"/>
      <c r="C7" s="7"/>
    </row>
    <row r="8" spans="1:3" x14ac:dyDescent="0.25">
      <c r="A8" s="1"/>
      <c r="B8" s="1"/>
      <c r="C8" s="1"/>
    </row>
    <row r="9" spans="1:3" x14ac:dyDescent="0.25">
      <c r="A9" s="4" t="s">
        <v>16</v>
      </c>
      <c r="B9" s="4"/>
      <c r="C9" s="4"/>
    </row>
    <row r="10" spans="1:3" x14ac:dyDescent="0.25">
      <c r="A10" s="1"/>
      <c r="B10" s="1"/>
      <c r="C10" s="1"/>
    </row>
    <row r="11" spans="1:3" x14ac:dyDescent="0.25">
      <c r="A11" s="7" t="s">
        <v>19</v>
      </c>
      <c r="B11" s="7"/>
      <c r="C11" s="7"/>
    </row>
    <row r="12" spans="1:3" x14ac:dyDescent="0.25">
      <c r="A12" s="1"/>
      <c r="B12" s="1"/>
      <c r="C12" s="1"/>
    </row>
    <row r="13" spans="1:3" x14ac:dyDescent="0.25">
      <c r="A13" s="7" t="s">
        <v>22</v>
      </c>
      <c r="B13" s="7"/>
      <c r="C13" s="7"/>
    </row>
    <row r="14" spans="1:3" x14ac:dyDescent="0.25">
      <c r="A14" s="1"/>
      <c r="B14" s="1"/>
      <c r="C14" s="1"/>
    </row>
    <row r="15" spans="1:3" x14ac:dyDescent="0.25">
      <c r="A15" s="7" t="s">
        <v>24</v>
      </c>
      <c r="B15" s="7"/>
      <c r="C15" s="7"/>
    </row>
    <row r="16" spans="1:3" x14ac:dyDescent="0.25">
      <c r="A16" s="1"/>
      <c r="B16" s="1"/>
      <c r="C16" s="1"/>
    </row>
    <row r="17" spans="1:3" x14ac:dyDescent="0.25">
      <c r="A17" s="1"/>
      <c r="B17" s="1"/>
      <c r="C17" s="1"/>
    </row>
    <row r="18" spans="1:3" x14ac:dyDescent="0.25">
      <c r="A18" s="1"/>
      <c r="B18" s="1"/>
      <c r="C18" s="1"/>
    </row>
    <row r="19" spans="1:3" x14ac:dyDescent="0.25">
      <c r="A19" s="1"/>
      <c r="B19" s="1"/>
      <c r="C19" s="1"/>
    </row>
    <row r="20" spans="1:3" x14ac:dyDescent="0.25">
      <c r="A20" s="1"/>
      <c r="B20" s="1"/>
      <c r="C20" s="1"/>
    </row>
    <row r="21" spans="1:3" x14ac:dyDescent="0.25">
      <c r="A21" s="1"/>
      <c r="B21" s="1"/>
      <c r="C21" s="1"/>
    </row>
    <row r="22" spans="1:3" x14ac:dyDescent="0.25">
      <c r="A22" s="7" t="s">
        <v>25</v>
      </c>
      <c r="B22" s="7"/>
      <c r="C22" s="7"/>
    </row>
    <row r="23" spans="1:3" x14ac:dyDescent="0.25">
      <c r="A23" s="1"/>
      <c r="B23" s="1"/>
      <c r="C23" s="1"/>
    </row>
    <row r="24" spans="1:3" x14ac:dyDescent="0.25">
      <c r="A24" s="1"/>
      <c r="B24" s="1"/>
      <c r="C24" s="1"/>
    </row>
    <row r="25" spans="1:3" x14ac:dyDescent="0.25">
      <c r="A25" s="1"/>
      <c r="B25" s="1"/>
      <c r="C25" s="1"/>
    </row>
    <row r="26" spans="1:3" x14ac:dyDescent="0.25">
      <c r="A26" s="1"/>
      <c r="B26" s="1"/>
      <c r="C26" s="1"/>
    </row>
    <row r="27" spans="1:3" x14ac:dyDescent="0.25">
      <c r="A27" s="1"/>
      <c r="B27" s="1"/>
      <c r="C27" s="1"/>
    </row>
    <row r="28" spans="1:3" x14ac:dyDescent="0.25">
      <c r="A28" s="1"/>
      <c r="B28" s="1"/>
      <c r="C28" s="1"/>
    </row>
    <row r="29" spans="1:3" x14ac:dyDescent="0.25">
      <c r="A29" s="1"/>
      <c r="B29" s="1"/>
      <c r="C29" s="1"/>
    </row>
    <row r="30" spans="1:3" x14ac:dyDescent="0.25">
      <c r="A30" s="1"/>
      <c r="B30" s="1"/>
      <c r="C30" s="1"/>
    </row>
    <row r="31" spans="1:3" x14ac:dyDescent="0.25">
      <c r="A31" s="1"/>
      <c r="B31" s="1"/>
      <c r="C31" s="1"/>
    </row>
    <row r="32" spans="1:3" x14ac:dyDescent="0.25">
      <c r="A32" s="1"/>
      <c r="B32" s="1"/>
      <c r="C32" s="1"/>
    </row>
    <row r="33" spans="1:3" x14ac:dyDescent="0.25">
      <c r="A33" s="1"/>
      <c r="B33" s="1"/>
      <c r="C33" s="1"/>
    </row>
    <row r="34" spans="1:3" x14ac:dyDescent="0.25">
      <c r="A34" s="1"/>
      <c r="B34" s="1"/>
      <c r="C34" s="1"/>
    </row>
    <row r="35" spans="1:3" x14ac:dyDescent="0.25">
      <c r="A35" s="1"/>
      <c r="B35" s="1"/>
      <c r="C35" s="1"/>
    </row>
    <row r="36" spans="1:3" x14ac:dyDescent="0.25">
      <c r="A36" s="1"/>
      <c r="B36" s="1"/>
      <c r="C36" s="1"/>
    </row>
    <row r="37" spans="1:3" x14ac:dyDescent="0.25">
      <c r="A37" s="1"/>
      <c r="B37" s="1"/>
      <c r="C37" s="1"/>
    </row>
    <row r="38" spans="1:3" x14ac:dyDescent="0.25">
      <c r="A38" s="1"/>
      <c r="B38" s="1"/>
      <c r="C38" s="1"/>
    </row>
    <row r="39" spans="1:3" x14ac:dyDescent="0.25">
      <c r="A39" s="1"/>
      <c r="B39" s="1"/>
      <c r="C39" s="1"/>
    </row>
    <row r="40" spans="1:3" x14ac:dyDescent="0.25">
      <c r="A40" s="1"/>
      <c r="B40" s="1"/>
      <c r="C40" s="1"/>
    </row>
    <row r="41" spans="1:3" x14ac:dyDescent="0.25">
      <c r="A41" s="1"/>
      <c r="B41" s="1"/>
      <c r="C41" s="1"/>
    </row>
    <row r="42" spans="1:3" x14ac:dyDescent="0.25">
      <c r="A42" s="1"/>
      <c r="B42" s="1"/>
      <c r="C42" s="1"/>
    </row>
    <row r="43" spans="1:3" x14ac:dyDescent="0.25">
      <c r="A43" s="1"/>
      <c r="B43" s="1"/>
      <c r="C43" s="1"/>
    </row>
    <row r="44" spans="1:3" x14ac:dyDescent="0.25">
      <c r="A44" s="1"/>
      <c r="B44" s="1"/>
      <c r="C44" s="1"/>
    </row>
    <row r="45" spans="1:3" x14ac:dyDescent="0.25">
      <c r="A45" s="1"/>
      <c r="B45" s="1"/>
      <c r="C45" s="1"/>
    </row>
  </sheetData>
  <mergeCells count="9">
    <mergeCell ref="A2:C3"/>
    <mergeCell ref="E2:O3"/>
    <mergeCell ref="A5:C5"/>
    <mergeCell ref="A7:C7"/>
    <mergeCell ref="A9:C9"/>
    <mergeCell ref="A11:C11"/>
    <mergeCell ref="A13:C13"/>
    <mergeCell ref="A15:C15"/>
    <mergeCell ref="A22:C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FormatPr defaultRowHeight="15" outlineLevelRow="0" outlineLevelCol="0" x14ac:dyDescent="55"/>
  <cols>
    <col min="1" max="1" width="6" customWidth="1"/>
    <col min="2" max="2" width="12" customWidth="1"/>
    <col min="3" max="3" width="6" customWidth="1"/>
    <col min="4" max="4" width="3" customWidth="1"/>
    <col min="5" max="5" width="10" customWidth="1"/>
    <col min="6" max="6" width="25" customWidth="1"/>
    <col min="7" max="7" width="15" customWidth="1"/>
    <col min="8" max="8" width="18" customWidth="1"/>
    <col min="9" max="9" width="30" customWidth="1"/>
    <col min="10" max="10" width="20" customWidth="1"/>
  </cols>
  <sheetData>
    <row r="1" spans="1:3" x14ac:dyDescent="0.25">
      <c r="A1" s="1"/>
      <c r="B1" s="1"/>
      <c r="C1" s="1"/>
    </row>
    <row r="2" spans="1:15" x14ac:dyDescent="0.25">
      <c r="A2" s="2" t="s">
        <v>0</v>
      </c>
      <c r="B2" s="2"/>
      <c r="C2" s="2"/>
      <c r="E2" s="3" t="s">
        <v>76</v>
      </c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/>
      <c r="B3" s="2"/>
      <c r="C3" s="2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3" x14ac:dyDescent="0.25">
      <c r="A4" s="1"/>
      <c r="B4" s="1"/>
      <c r="C4" s="1"/>
    </row>
    <row r="5" spans="1:10" x14ac:dyDescent="0.25">
      <c r="A5" s="7" t="s">
        <v>6</v>
      </c>
      <c r="B5" s="7"/>
      <c r="C5" s="7"/>
      <c r="E5" s="15" t="s">
        <v>70</v>
      </c>
      <c r="F5" s="15" t="s">
        <v>71</v>
      </c>
      <c r="G5" s="15" t="s">
        <v>77</v>
      </c>
      <c r="H5" s="15" t="s">
        <v>78</v>
      </c>
      <c r="I5" s="15" t="s">
        <v>79</v>
      </c>
      <c r="J5" s="15" t="s">
        <v>80</v>
      </c>
    </row>
    <row r="6" spans="1:3" x14ac:dyDescent="0.25">
      <c r="A6" s="1"/>
      <c r="B6" s="1"/>
      <c r="C6" s="1"/>
    </row>
    <row r="7" spans="1:3" x14ac:dyDescent="0.25">
      <c r="A7" s="7" t="s">
        <v>13</v>
      </c>
      <c r="B7" s="7"/>
      <c r="C7" s="7"/>
    </row>
    <row r="8" spans="1:3" x14ac:dyDescent="0.25">
      <c r="A8" s="1"/>
      <c r="B8" s="1"/>
      <c r="C8" s="1"/>
    </row>
    <row r="9" spans="1:3" x14ac:dyDescent="0.25">
      <c r="A9" s="7" t="s">
        <v>16</v>
      </c>
      <c r="B9" s="7"/>
      <c r="C9" s="7"/>
    </row>
    <row r="10" spans="1:3" x14ac:dyDescent="0.25">
      <c r="A10" s="1"/>
      <c r="B10" s="1"/>
      <c r="C10" s="1"/>
    </row>
    <row r="11" spans="1:3" x14ac:dyDescent="0.25">
      <c r="A11" s="4" t="s">
        <v>19</v>
      </c>
      <c r="B11" s="4"/>
      <c r="C11" s="4"/>
    </row>
    <row r="12" spans="1:3" x14ac:dyDescent="0.25">
      <c r="A12" s="1"/>
      <c r="B12" s="1"/>
      <c r="C12" s="1"/>
    </row>
    <row r="13" spans="1:3" x14ac:dyDescent="0.25">
      <c r="A13" s="7" t="s">
        <v>22</v>
      </c>
      <c r="B13" s="7"/>
      <c r="C13" s="7"/>
    </row>
    <row r="14" spans="1:3" x14ac:dyDescent="0.25">
      <c r="A14" s="1"/>
      <c r="B14" s="1"/>
      <c r="C14" s="1"/>
    </row>
    <row r="15" spans="1:3" x14ac:dyDescent="0.25">
      <c r="A15" s="7" t="s">
        <v>24</v>
      </c>
      <c r="B15" s="7"/>
      <c r="C15" s="7"/>
    </row>
    <row r="16" spans="1:3" x14ac:dyDescent="0.25">
      <c r="A16" s="1"/>
      <c r="B16" s="1"/>
      <c r="C16" s="1"/>
    </row>
    <row r="17" spans="1:3" x14ac:dyDescent="0.25">
      <c r="A17" s="1"/>
      <c r="B17" s="1"/>
      <c r="C17" s="1"/>
    </row>
    <row r="18" spans="1:3" x14ac:dyDescent="0.25">
      <c r="A18" s="1"/>
      <c r="B18" s="1"/>
      <c r="C18" s="1"/>
    </row>
    <row r="19" spans="1:3" x14ac:dyDescent="0.25">
      <c r="A19" s="1"/>
      <c r="B19" s="1"/>
      <c r="C19" s="1"/>
    </row>
    <row r="20" spans="1:3" x14ac:dyDescent="0.25">
      <c r="A20" s="1"/>
      <c r="B20" s="1"/>
      <c r="C20" s="1"/>
    </row>
    <row r="21" spans="1:3" x14ac:dyDescent="0.25">
      <c r="A21" s="1"/>
      <c r="B21" s="1"/>
      <c r="C21" s="1"/>
    </row>
    <row r="22" spans="1:3" x14ac:dyDescent="0.25">
      <c r="A22" s="7" t="s">
        <v>25</v>
      </c>
      <c r="B22" s="7"/>
      <c r="C22" s="7"/>
    </row>
    <row r="23" spans="1:3" x14ac:dyDescent="0.25">
      <c r="A23" s="1"/>
      <c r="B23" s="1"/>
      <c r="C23" s="1"/>
    </row>
    <row r="24" spans="1:3" x14ac:dyDescent="0.25">
      <c r="A24" s="1"/>
      <c r="B24" s="1"/>
      <c r="C24" s="1"/>
    </row>
    <row r="25" spans="1:3" x14ac:dyDescent="0.25">
      <c r="A25" s="1"/>
      <c r="B25" s="1"/>
      <c r="C25" s="1"/>
    </row>
    <row r="26" spans="1:3" x14ac:dyDescent="0.25">
      <c r="A26" s="1"/>
      <c r="B26" s="1"/>
      <c r="C26" s="1"/>
    </row>
    <row r="27" spans="1:3" x14ac:dyDescent="0.25">
      <c r="A27" s="1"/>
      <c r="B27" s="1"/>
      <c r="C27" s="1"/>
    </row>
    <row r="28" spans="1:3" x14ac:dyDescent="0.25">
      <c r="A28" s="1"/>
      <c r="B28" s="1"/>
      <c r="C28" s="1"/>
    </row>
    <row r="29" spans="1:3" x14ac:dyDescent="0.25">
      <c r="A29" s="1"/>
      <c r="B29" s="1"/>
      <c r="C29" s="1"/>
    </row>
    <row r="30" spans="1:3" x14ac:dyDescent="0.25">
      <c r="A30" s="1"/>
      <c r="B30" s="1"/>
      <c r="C30" s="1"/>
    </row>
    <row r="31" spans="1:3" x14ac:dyDescent="0.25">
      <c r="A31" s="1"/>
      <c r="B31" s="1"/>
      <c r="C31" s="1"/>
    </row>
    <row r="32" spans="1:3" x14ac:dyDescent="0.25">
      <c r="A32" s="1"/>
      <c r="B32" s="1"/>
      <c r="C32" s="1"/>
    </row>
    <row r="33" spans="1:3" x14ac:dyDescent="0.25">
      <c r="A33" s="1"/>
      <c r="B33" s="1"/>
      <c r="C33" s="1"/>
    </row>
    <row r="34" spans="1:3" x14ac:dyDescent="0.25">
      <c r="A34" s="1"/>
      <c r="B34" s="1"/>
      <c r="C34" s="1"/>
    </row>
    <row r="35" spans="1:3" x14ac:dyDescent="0.25">
      <c r="A35" s="1"/>
      <c r="B35" s="1"/>
      <c r="C35" s="1"/>
    </row>
    <row r="36" spans="1:3" x14ac:dyDescent="0.25">
      <c r="A36" s="1"/>
      <c r="B36" s="1"/>
      <c r="C36" s="1"/>
    </row>
    <row r="37" spans="1:3" x14ac:dyDescent="0.25">
      <c r="A37" s="1"/>
      <c r="B37" s="1"/>
      <c r="C37" s="1"/>
    </row>
    <row r="38" spans="1:3" x14ac:dyDescent="0.25">
      <c r="A38" s="1"/>
      <c r="B38" s="1"/>
      <c r="C38" s="1"/>
    </row>
    <row r="39" spans="1:3" x14ac:dyDescent="0.25">
      <c r="A39" s="1"/>
      <c r="B39" s="1"/>
      <c r="C39" s="1"/>
    </row>
    <row r="40" spans="1:3" x14ac:dyDescent="0.25">
      <c r="A40" s="1"/>
      <c r="B40" s="1"/>
      <c r="C40" s="1"/>
    </row>
    <row r="41" spans="1:3" x14ac:dyDescent="0.25">
      <c r="A41" s="1"/>
      <c r="B41" s="1"/>
      <c r="C41" s="1"/>
    </row>
    <row r="42" spans="1:3" x14ac:dyDescent="0.25">
      <c r="A42" s="1"/>
      <c r="B42" s="1"/>
      <c r="C42" s="1"/>
    </row>
    <row r="43" spans="1:3" x14ac:dyDescent="0.25">
      <c r="A43" s="1"/>
      <c r="B43" s="1"/>
      <c r="C43" s="1"/>
    </row>
    <row r="44" spans="1:3" x14ac:dyDescent="0.25">
      <c r="A44" s="1"/>
      <c r="B44" s="1"/>
      <c r="C44" s="1"/>
    </row>
    <row r="45" spans="1:3" x14ac:dyDescent="0.25">
      <c r="A45" s="1"/>
      <c r="B45" s="1"/>
      <c r="C45" s="1"/>
    </row>
  </sheetData>
  <mergeCells count="9">
    <mergeCell ref="A2:C3"/>
    <mergeCell ref="E2:O3"/>
    <mergeCell ref="A5:C5"/>
    <mergeCell ref="A7:C7"/>
    <mergeCell ref="A9:C9"/>
    <mergeCell ref="A11:C11"/>
    <mergeCell ref="A13:C13"/>
    <mergeCell ref="A15:C15"/>
    <mergeCell ref="A22:C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FormatPr defaultRowHeight="15" outlineLevelRow="0" outlineLevelCol="0" x14ac:dyDescent="55"/>
  <cols>
    <col min="1" max="1" width="6" customWidth="1"/>
    <col min="2" max="2" width="12" customWidth="1"/>
    <col min="3" max="3" width="6" customWidth="1"/>
    <col min="4" max="4" width="3" customWidth="1"/>
    <col min="5" max="5" width="10" customWidth="1"/>
    <col min="6" max="6" width="25" customWidth="1"/>
    <col min="7" max="9" width="15" customWidth="1"/>
    <col min="10" max="10" width="30" customWidth="1"/>
  </cols>
  <sheetData>
    <row r="1" spans="1:3" x14ac:dyDescent="0.25">
      <c r="A1" s="1"/>
      <c r="B1" s="1"/>
      <c r="C1" s="1"/>
    </row>
    <row r="2" spans="1:15" x14ac:dyDescent="0.25">
      <c r="A2" s="2" t="s">
        <v>0</v>
      </c>
      <c r="B2" s="2"/>
      <c r="C2" s="2"/>
      <c r="E2" s="3" t="s">
        <v>81</v>
      </c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/>
      <c r="B3" s="2"/>
      <c r="C3" s="2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3" x14ac:dyDescent="0.25">
      <c r="A4" s="1"/>
      <c r="B4" s="1"/>
      <c r="C4" s="1"/>
    </row>
    <row r="5" spans="1:10" x14ac:dyDescent="0.25">
      <c r="A5" s="7" t="s">
        <v>6</v>
      </c>
      <c r="B5" s="7"/>
      <c r="C5" s="7"/>
      <c r="E5" s="15" t="s">
        <v>70</v>
      </c>
      <c r="F5" s="15" t="s">
        <v>71</v>
      </c>
      <c r="G5" s="15" t="s">
        <v>77</v>
      </c>
      <c r="H5" s="15" t="s">
        <v>82</v>
      </c>
      <c r="I5" s="15" t="s">
        <v>83</v>
      </c>
      <c r="J5" s="15" t="s">
        <v>84</v>
      </c>
    </row>
    <row r="6" spans="1:3" x14ac:dyDescent="0.25">
      <c r="A6" s="1"/>
      <c r="B6" s="1"/>
      <c r="C6" s="1"/>
    </row>
    <row r="7" spans="1:3" x14ac:dyDescent="0.25">
      <c r="A7" s="7" t="s">
        <v>13</v>
      </c>
      <c r="B7" s="7"/>
      <c r="C7" s="7"/>
    </row>
    <row r="8" spans="1:3" x14ac:dyDescent="0.25">
      <c r="A8" s="1"/>
      <c r="B8" s="1"/>
      <c r="C8" s="1"/>
    </row>
    <row r="9" spans="1:3" x14ac:dyDescent="0.25">
      <c r="A9" s="7" t="s">
        <v>16</v>
      </c>
      <c r="B9" s="7"/>
      <c r="C9" s="7"/>
    </row>
    <row r="10" spans="1:3" x14ac:dyDescent="0.25">
      <c r="A10" s="1"/>
      <c r="B10" s="1"/>
      <c r="C10" s="1"/>
    </row>
    <row r="11" spans="1:3" x14ac:dyDescent="0.25">
      <c r="A11" s="7" t="s">
        <v>19</v>
      </c>
      <c r="B11" s="7"/>
      <c r="C11" s="7"/>
    </row>
    <row r="12" spans="1:3" x14ac:dyDescent="0.25">
      <c r="A12" s="1"/>
      <c r="B12" s="1"/>
      <c r="C12" s="1"/>
    </row>
    <row r="13" spans="1:3" x14ac:dyDescent="0.25">
      <c r="A13" s="4" t="s">
        <v>22</v>
      </c>
      <c r="B13" s="4"/>
      <c r="C13" s="4"/>
    </row>
    <row r="14" spans="1:3" x14ac:dyDescent="0.25">
      <c r="A14" s="1"/>
      <c r="B14" s="1"/>
      <c r="C14" s="1"/>
    </row>
    <row r="15" spans="1:3" x14ac:dyDescent="0.25">
      <c r="A15" s="7" t="s">
        <v>24</v>
      </c>
      <c r="B15" s="7"/>
      <c r="C15" s="7"/>
    </row>
    <row r="16" spans="1:3" x14ac:dyDescent="0.25">
      <c r="A16" s="1"/>
      <c r="B16" s="1"/>
      <c r="C16" s="1"/>
    </row>
    <row r="17" spans="1:3" x14ac:dyDescent="0.25">
      <c r="A17" s="1"/>
      <c r="B17" s="1"/>
      <c r="C17" s="1"/>
    </row>
    <row r="18" spans="1:3" x14ac:dyDescent="0.25">
      <c r="A18" s="1"/>
      <c r="B18" s="1"/>
      <c r="C18" s="1"/>
    </row>
    <row r="19" spans="1:3" x14ac:dyDescent="0.25">
      <c r="A19" s="1"/>
      <c r="B19" s="1"/>
      <c r="C19" s="1"/>
    </row>
    <row r="20" spans="1:3" x14ac:dyDescent="0.25">
      <c r="A20" s="1"/>
      <c r="B20" s="1"/>
      <c r="C20" s="1"/>
    </row>
    <row r="21" spans="1:3" x14ac:dyDescent="0.25">
      <c r="A21" s="1"/>
      <c r="B21" s="1"/>
      <c r="C21" s="1"/>
    </row>
    <row r="22" spans="1:3" x14ac:dyDescent="0.25">
      <c r="A22" s="7" t="s">
        <v>25</v>
      </c>
      <c r="B22" s="7"/>
      <c r="C22" s="7"/>
    </row>
    <row r="23" spans="1:3" x14ac:dyDescent="0.25">
      <c r="A23" s="1"/>
      <c r="B23" s="1"/>
      <c r="C23" s="1"/>
    </row>
    <row r="24" spans="1:3" x14ac:dyDescent="0.25">
      <c r="A24" s="1"/>
      <c r="B24" s="1"/>
      <c r="C24" s="1"/>
    </row>
    <row r="25" spans="1:3" x14ac:dyDescent="0.25">
      <c r="A25" s="1"/>
      <c r="B25" s="1"/>
      <c r="C25" s="1"/>
    </row>
    <row r="26" spans="1:3" x14ac:dyDescent="0.25">
      <c r="A26" s="1"/>
      <c r="B26" s="1"/>
      <c r="C26" s="1"/>
    </row>
    <row r="27" spans="1:3" x14ac:dyDescent="0.25">
      <c r="A27" s="1"/>
      <c r="B27" s="1"/>
      <c r="C27" s="1"/>
    </row>
    <row r="28" spans="1:3" x14ac:dyDescent="0.25">
      <c r="A28" s="1"/>
      <c r="B28" s="1"/>
      <c r="C28" s="1"/>
    </row>
    <row r="29" spans="1:3" x14ac:dyDescent="0.25">
      <c r="A29" s="1"/>
      <c r="B29" s="1"/>
      <c r="C29" s="1"/>
    </row>
    <row r="30" spans="1:3" x14ac:dyDescent="0.25">
      <c r="A30" s="1"/>
      <c r="B30" s="1"/>
      <c r="C30" s="1"/>
    </row>
    <row r="31" spans="1:3" x14ac:dyDescent="0.25">
      <c r="A31" s="1"/>
      <c r="B31" s="1"/>
      <c r="C31" s="1"/>
    </row>
    <row r="32" spans="1:3" x14ac:dyDescent="0.25">
      <c r="A32" s="1"/>
      <c r="B32" s="1"/>
      <c r="C32" s="1"/>
    </row>
    <row r="33" spans="1:3" x14ac:dyDescent="0.25">
      <c r="A33" s="1"/>
      <c r="B33" s="1"/>
      <c r="C33" s="1"/>
    </row>
    <row r="34" spans="1:3" x14ac:dyDescent="0.25">
      <c r="A34" s="1"/>
      <c r="B34" s="1"/>
      <c r="C34" s="1"/>
    </row>
    <row r="35" spans="1:3" x14ac:dyDescent="0.25">
      <c r="A35" s="1"/>
      <c r="B35" s="1"/>
      <c r="C35" s="1"/>
    </row>
    <row r="36" spans="1:3" x14ac:dyDescent="0.25">
      <c r="A36" s="1"/>
      <c r="B36" s="1"/>
      <c r="C36" s="1"/>
    </row>
    <row r="37" spans="1:3" x14ac:dyDescent="0.25">
      <c r="A37" s="1"/>
      <c r="B37" s="1"/>
      <c r="C37" s="1"/>
    </row>
    <row r="38" spans="1:3" x14ac:dyDescent="0.25">
      <c r="A38" s="1"/>
      <c r="B38" s="1"/>
      <c r="C38" s="1"/>
    </row>
    <row r="39" spans="1:3" x14ac:dyDescent="0.25">
      <c r="A39" s="1"/>
      <c r="B39" s="1"/>
      <c r="C39" s="1"/>
    </row>
    <row r="40" spans="1:3" x14ac:dyDescent="0.25">
      <c r="A40" s="1"/>
      <c r="B40" s="1"/>
      <c r="C40" s="1"/>
    </row>
    <row r="41" spans="1:3" x14ac:dyDescent="0.25">
      <c r="A41" s="1"/>
      <c r="B41" s="1"/>
      <c r="C41" s="1"/>
    </row>
    <row r="42" spans="1:3" x14ac:dyDescent="0.25">
      <c r="A42" s="1"/>
      <c r="B42" s="1"/>
      <c r="C42" s="1"/>
    </row>
    <row r="43" spans="1:3" x14ac:dyDescent="0.25">
      <c r="A43" s="1"/>
      <c r="B43" s="1"/>
      <c r="C43" s="1"/>
    </row>
    <row r="44" spans="1:3" x14ac:dyDescent="0.25">
      <c r="A44" s="1"/>
      <c r="B44" s="1"/>
      <c r="C44" s="1"/>
    </row>
    <row r="45" spans="1:3" x14ac:dyDescent="0.25">
      <c r="A45" s="1"/>
      <c r="B45" s="1"/>
      <c r="C45" s="1"/>
    </row>
  </sheetData>
  <mergeCells count="9">
    <mergeCell ref="A2:C3"/>
    <mergeCell ref="E2:O3"/>
    <mergeCell ref="A5:C5"/>
    <mergeCell ref="A7:C7"/>
    <mergeCell ref="A9:C9"/>
    <mergeCell ref="A11:C11"/>
    <mergeCell ref="A13:C13"/>
    <mergeCell ref="A15:C15"/>
    <mergeCell ref="A22:C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FormatPr defaultRowHeight="15" outlineLevelRow="0" outlineLevelCol="0" x14ac:dyDescent="55"/>
  <cols>
    <col min="1" max="1" width="6" customWidth="1"/>
    <col min="2" max="2" width="12" customWidth="1"/>
    <col min="3" max="3" width="6" customWidth="1"/>
    <col min="4" max="4" width="3" customWidth="1"/>
    <col min="10" max="10" width="12" customWidth="1"/>
  </cols>
  <sheetData>
    <row r="1" spans="1:3" x14ac:dyDescent="0.25">
      <c r="A1" s="1"/>
      <c r="B1" s="1"/>
      <c r="C1" s="1"/>
    </row>
    <row r="2" spans="1:15" x14ac:dyDescent="0.25">
      <c r="A2" s="2" t="s">
        <v>0</v>
      </c>
      <c r="B2" s="2"/>
      <c r="C2" s="2"/>
      <c r="E2" s="3" t="s">
        <v>85</v>
      </c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/>
      <c r="B3" s="2"/>
      <c r="C3" s="2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8" x14ac:dyDescent="0.25">
      <c r="A4" s="1"/>
      <c r="B4" s="1"/>
      <c r="C4" s="1"/>
      <c r="H4" s="16" t="s">
        <v>86</v>
      </c>
    </row>
    <row r="5" spans="1:14" x14ac:dyDescent="0.25">
      <c r="A5" s="7" t="s">
        <v>6</v>
      </c>
      <c r="B5" s="7"/>
      <c r="C5" s="7"/>
      <c r="E5" s="17" t="s">
        <v>87</v>
      </c>
      <c r="F5" s="17"/>
      <c r="G5" s="17"/>
      <c r="H5" s="17"/>
      <c r="I5" s="17"/>
      <c r="J5" s="17"/>
      <c r="K5" s="17"/>
      <c r="L5" s="17"/>
      <c r="M5" s="17"/>
      <c r="N5" s="17"/>
    </row>
    <row r="6" spans="1:3" x14ac:dyDescent="0.25">
      <c r="A6" s="1"/>
      <c r="B6" s="1"/>
      <c r="C6" s="1"/>
    </row>
    <row r="7" spans="1:8" x14ac:dyDescent="0.25">
      <c r="A7" s="7" t="s">
        <v>13</v>
      </c>
      <c r="B7" s="7"/>
      <c r="C7" s="7"/>
      <c r="E7" s="18" t="s">
        <v>88</v>
      </c>
      <c r="G7"/>
      <c r="H7">
        <f>=XLOOKUP(H4, DB_FUNCIONARIOS!E:E, DB_FUNCIONARIOS!F:F, "Vazio")</f>
      </c>
    </row>
    <row r="8" spans="1:3" x14ac:dyDescent="0.25">
      <c r="A8" s="1"/>
      <c r="B8" s="1"/>
      <c r="C8" s="1"/>
    </row>
    <row r="9" spans="1:14" x14ac:dyDescent="0.25">
      <c r="A9" s="7" t="s">
        <v>16</v>
      </c>
      <c r="B9" s="7"/>
      <c r="C9" s="7"/>
      <c r="E9" s="19" t="s">
        <v>89</v>
      </c>
      <c r="F9" s="20">
        <f>=XLOOKUP(H4, DB_FUNCIONARIOS!E:E, DB_FUNCIONARIOS!F:F, "Nao Localizado")</f>
      </c>
      <c r="G9" s="20"/>
      <c r="H9" s="20"/>
      <c r="J9" s="19" t="s">
        <v>90</v>
      </c>
      <c r="K9" s="20">
        <f>=XLOOKUP(H4, DB_FUNCIONARIOS!E:E, DB_FUNCIONARIOS!AM:AM, "-")</f>
      </c>
      <c r="L9" s="20"/>
      <c r="M9" s="20"/>
      <c r="N9" s="20"/>
    </row>
    <row r="10" spans="1:14" x14ac:dyDescent="0.25">
      <c r="A10" s="1"/>
      <c r="B10" s="1"/>
      <c r="C10" s="1"/>
      <c r="E10" s="19" t="s">
        <v>33</v>
      </c>
      <c r="F10" s="20">
        <f>=XLOOKUP(H4, DB_FUNCIONARIOS!E:E, DB_FUNCIONARIOS!H:H, "-")</f>
      </c>
      <c r="G10" s="20"/>
      <c r="H10" s="20"/>
      <c r="J10" s="19" t="s">
        <v>91</v>
      </c>
      <c r="K10" s="20">
        <f>=XLOOKUP(H4, DB_FUNCIONARIOS!E:E, DB_FUNCIONARIOS!AL:AL, "-")</f>
      </c>
      <c r="L10" s="20"/>
      <c r="M10" s="20"/>
      <c r="N10" s="20"/>
    </row>
    <row r="11" spans="1:14" x14ac:dyDescent="0.25">
      <c r="A11" s="7" t="s">
        <v>19</v>
      </c>
      <c r="B11" s="7"/>
      <c r="C11" s="7"/>
      <c r="E11" s="19" t="s">
        <v>37</v>
      </c>
      <c r="F11" s="20">
        <f>=XLOOKUP(H4, DB_FUNCIONARIOS!E:E, DB_FUNCIONARIOS!L:L, "-")</f>
      </c>
      <c r="G11" s="20"/>
      <c r="H11" s="20"/>
      <c r="J11" s="19" t="s">
        <v>92</v>
      </c>
      <c r="K11" s="20">
        <f>=XLOOKUP(H4, DB_FUNCIONARIOS!E:E, DB_FUNCIONARIOS!K:K, "-")</f>
      </c>
      <c r="L11" s="20"/>
      <c r="M11" s="20"/>
      <c r="N11" s="20"/>
    </row>
    <row r="12" spans="1:14" x14ac:dyDescent="0.25">
      <c r="A12" s="1"/>
      <c r="B12" s="1"/>
      <c r="C12" s="1"/>
      <c r="E12" s="19" t="s">
        <v>55</v>
      </c>
      <c r="F12" s="20">
        <f>=XLOOKUP(H4, DB_FUNCIONARIOS!E:E, DB_FUNCIONARIOS!AS:AS, 0)</f>
      </c>
      <c r="G12" s="20"/>
      <c r="H12" s="20"/>
      <c r="J12" s="19" t="s">
        <v>59</v>
      </c>
      <c r="K12" s="20">
        <f>=XLOOKUP(H4, DB_FUNCIONARIOS!E:E, DB_FUNCIONARIOS!AZ:AZ, "-")</f>
      </c>
      <c r="L12" s="20"/>
      <c r="M12" s="20"/>
      <c r="N12" s="20"/>
    </row>
    <row r="13" spans="1:3" x14ac:dyDescent="0.25">
      <c r="A13" s="7" t="s">
        <v>22</v>
      </c>
      <c r="B13" s="7"/>
      <c r="C13" s="7"/>
    </row>
    <row r="14" spans="1:3" x14ac:dyDescent="0.25">
      <c r="A14" s="1"/>
      <c r="B14" s="1"/>
      <c r="C14" s="1"/>
    </row>
    <row r="15" ht="30" customHeight="1" spans="1:3" x14ac:dyDescent="0.25">
      <c r="A15" s="4" t="s">
        <v>24</v>
      </c>
      <c r="B15" s="4"/>
      <c r="C15" s="4"/>
    </row>
    <row r="16" spans="1:3" x14ac:dyDescent="0.25">
      <c r="A16" s="1"/>
      <c r="B16" s="1"/>
      <c r="C16" s="1"/>
    </row>
    <row r="17" spans="1:3" x14ac:dyDescent="0.25">
      <c r="A17" s="1"/>
      <c r="B17" s="1"/>
      <c r="C17" s="1"/>
    </row>
    <row r="18" spans="1:3" x14ac:dyDescent="0.25">
      <c r="A18" s="1"/>
      <c r="B18" s="1"/>
      <c r="C18" s="1"/>
    </row>
    <row r="19" spans="1:3" x14ac:dyDescent="0.25">
      <c r="A19" s="1"/>
      <c r="B19" s="1"/>
      <c r="C19" s="1"/>
    </row>
    <row r="20" ht="30" customHeight="1" spans="1:3" x14ac:dyDescent="0.25">
      <c r="A20" s="1"/>
      <c r="B20" s="1"/>
      <c r="C20" s="1"/>
    </row>
    <row r="21" spans="1:3" x14ac:dyDescent="0.25">
      <c r="A21" s="1"/>
      <c r="B21" s="1"/>
      <c r="C21" s="1"/>
    </row>
    <row r="22" spans="1:3" x14ac:dyDescent="0.25">
      <c r="A22" s="7" t="s">
        <v>25</v>
      </c>
      <c r="B22" s="7"/>
      <c r="C22" s="7"/>
    </row>
    <row r="23" spans="1:3" x14ac:dyDescent="0.25">
      <c r="A23" s="1"/>
      <c r="B23" s="1"/>
      <c r="C23" s="1"/>
    </row>
    <row r="24" spans="1:3" x14ac:dyDescent="0.25">
      <c r="A24" s="1"/>
      <c r="B24" s="1"/>
      <c r="C24" s="1"/>
    </row>
    <row r="25" spans="1:3" x14ac:dyDescent="0.25">
      <c r="A25" s="1"/>
      <c r="B25" s="1"/>
      <c r="C25" s="1"/>
    </row>
    <row r="26" spans="1:3" x14ac:dyDescent="0.25">
      <c r="A26" s="1"/>
      <c r="B26" s="1"/>
      <c r="C26" s="1"/>
    </row>
    <row r="27" spans="1:3" x14ac:dyDescent="0.25">
      <c r="A27" s="1"/>
      <c r="B27" s="1"/>
      <c r="C27" s="1"/>
    </row>
    <row r="28" spans="1:3" x14ac:dyDescent="0.25">
      <c r="A28" s="1"/>
      <c r="B28" s="1"/>
      <c r="C28" s="1"/>
    </row>
    <row r="29" spans="1:3" x14ac:dyDescent="0.25">
      <c r="A29" s="1"/>
      <c r="B29" s="1"/>
      <c r="C29" s="1"/>
    </row>
    <row r="30" spans="1:3" x14ac:dyDescent="0.25">
      <c r="A30" s="1"/>
      <c r="B30" s="1"/>
      <c r="C30" s="1"/>
    </row>
    <row r="31" spans="1:3" x14ac:dyDescent="0.25">
      <c r="A31" s="1"/>
      <c r="B31" s="1"/>
      <c r="C31" s="1"/>
    </row>
    <row r="32" spans="1:3" x14ac:dyDescent="0.25">
      <c r="A32" s="1"/>
      <c r="B32" s="1"/>
      <c r="C32" s="1"/>
    </row>
    <row r="33" spans="1:3" x14ac:dyDescent="0.25">
      <c r="A33" s="1"/>
      <c r="B33" s="1"/>
      <c r="C33" s="1"/>
    </row>
    <row r="34" spans="1:3" x14ac:dyDescent="0.25">
      <c r="A34" s="1"/>
      <c r="B34" s="1"/>
      <c r="C34" s="1"/>
    </row>
    <row r="35" spans="1:3" x14ac:dyDescent="0.25">
      <c r="A35" s="1"/>
      <c r="B35" s="1"/>
      <c r="C35" s="1"/>
    </row>
    <row r="36" spans="1:3" x14ac:dyDescent="0.25">
      <c r="A36" s="1"/>
      <c r="B36" s="1"/>
      <c r="C36" s="1"/>
    </row>
    <row r="37" spans="1:3" x14ac:dyDescent="0.25">
      <c r="A37" s="1"/>
      <c r="B37" s="1"/>
      <c r="C37" s="1"/>
    </row>
    <row r="38" spans="1:3" x14ac:dyDescent="0.25">
      <c r="A38" s="1"/>
      <c r="B38" s="1"/>
      <c r="C38" s="1"/>
    </row>
    <row r="39" spans="1:3" x14ac:dyDescent="0.25">
      <c r="A39" s="1"/>
      <c r="B39" s="1"/>
      <c r="C39" s="1"/>
    </row>
    <row r="40" spans="1:3" x14ac:dyDescent="0.25">
      <c r="A40" s="1"/>
      <c r="B40" s="1"/>
      <c r="C40" s="1"/>
    </row>
    <row r="41" spans="1:3" x14ac:dyDescent="0.25">
      <c r="A41" s="1"/>
      <c r="B41" s="1"/>
      <c r="C41" s="1"/>
    </row>
    <row r="42" spans="1:3" x14ac:dyDescent="0.25">
      <c r="A42" s="1"/>
      <c r="B42" s="1"/>
      <c r="C42" s="1"/>
    </row>
    <row r="43" spans="1:3" x14ac:dyDescent="0.25">
      <c r="A43" s="1"/>
      <c r="B43" s="1"/>
      <c r="C43" s="1"/>
    </row>
    <row r="44" spans="1:3" x14ac:dyDescent="0.25">
      <c r="A44" s="1"/>
      <c r="B44" s="1"/>
      <c r="C44" s="1"/>
    </row>
    <row r="45" spans="1:3" x14ac:dyDescent="0.25">
      <c r="A45" s="1"/>
      <c r="B45" s="1"/>
      <c r="C45" s="1"/>
    </row>
  </sheetData>
  <mergeCells count="19">
    <mergeCell ref="A2:C3"/>
    <mergeCell ref="E2:O3"/>
    <mergeCell ref="A5:C5"/>
    <mergeCell ref="E5:N5"/>
    <mergeCell ref="A7:C7"/>
    <mergeCell ref="F7:G7"/>
    <mergeCell ref="A9:C9"/>
    <mergeCell ref="F9:H9"/>
    <mergeCell ref="K9:N9"/>
    <mergeCell ref="F10:H10"/>
    <mergeCell ref="K10:N10"/>
    <mergeCell ref="A11:C11"/>
    <mergeCell ref="F11:H11"/>
    <mergeCell ref="K11:N11"/>
    <mergeCell ref="F12:H12"/>
    <mergeCell ref="K12:N12"/>
    <mergeCell ref="A13:C13"/>
    <mergeCell ref="A15:C15"/>
    <mergeCell ref="A22:C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AZ11"/>
  <sheetFormatPr defaultRowHeight="15" outlineLevelRow="0" outlineLevelCol="0" x14ac:dyDescent="55"/>
  <sheetData>
    <row r="1" spans="5:52" x14ac:dyDescent="0.25">
      <c r="E1" s="21" t="s">
        <v>70</v>
      </c>
      <c r="F1" s="21" t="s">
        <v>93</v>
      </c>
      <c r="G1" s="21" t="s">
        <v>94</v>
      </c>
      <c r="H1" s="21" t="s">
        <v>95</v>
      </c>
      <c r="I1" s="21" t="s">
        <v>96</v>
      </c>
      <c r="J1" s="21" t="s">
        <v>97</v>
      </c>
      <c r="K1" s="21" t="s">
        <v>98</v>
      </c>
      <c r="L1" s="21" t="s">
        <v>99</v>
      </c>
      <c r="M1" s="21" t="s">
        <v>100</v>
      </c>
      <c r="N1" s="21" t="s">
        <v>101</v>
      </c>
      <c r="O1" s="21" t="s">
        <v>102</v>
      </c>
      <c r="P1" s="21" t="s">
        <v>103</v>
      </c>
      <c r="Q1" s="21" t="s">
        <v>104</v>
      </c>
      <c r="R1" s="21" t="s">
        <v>105</v>
      </c>
      <c r="S1" s="21" t="s">
        <v>106</v>
      </c>
      <c r="T1" s="21" t="s">
        <v>107</v>
      </c>
      <c r="U1" s="21" t="s">
        <v>108</v>
      </c>
      <c r="V1" s="21" t="s">
        <v>109</v>
      </c>
      <c r="W1" s="21" t="s">
        <v>110</v>
      </c>
      <c r="X1" s="21" t="s">
        <v>111</v>
      </c>
      <c r="Y1" s="21" t="s">
        <v>112</v>
      </c>
      <c r="Z1" s="21" t="s">
        <v>113</v>
      </c>
      <c r="AA1" s="21" t="s">
        <v>114</v>
      </c>
      <c r="AB1" s="21" t="s">
        <v>115</v>
      </c>
      <c r="AC1" s="21" t="s">
        <v>116</v>
      </c>
      <c r="AD1" s="21" t="s">
        <v>117</v>
      </c>
      <c r="AE1" s="21" t="s">
        <v>118</v>
      </c>
      <c r="AF1" s="21" t="s">
        <v>119</v>
      </c>
      <c r="AG1" s="21" t="s">
        <v>120</v>
      </c>
      <c r="AH1" s="21" t="s">
        <v>121</v>
      </c>
      <c r="AI1" s="21" t="s">
        <v>122</v>
      </c>
      <c r="AJ1" s="21" t="s">
        <v>123</v>
      </c>
      <c r="AK1" s="21" t="s">
        <v>124</v>
      </c>
      <c r="AL1" s="21" t="s">
        <v>125</v>
      </c>
      <c r="AM1" s="21" t="s">
        <v>126</v>
      </c>
      <c r="AN1" s="21" t="s">
        <v>2</v>
      </c>
      <c r="AO1" s="21" t="s">
        <v>127</v>
      </c>
      <c r="AP1" s="21" t="s">
        <v>128</v>
      </c>
      <c r="AQ1" s="21" t="s">
        <v>129</v>
      </c>
      <c r="AR1" s="21" t="s">
        <v>130</v>
      </c>
      <c r="AS1" s="21" t="s">
        <v>131</v>
      </c>
      <c r="AT1" s="21" t="s">
        <v>132</v>
      </c>
      <c r="AU1" s="21" t="s">
        <v>133</v>
      </c>
      <c r="AV1" s="21" t="s">
        <v>134</v>
      </c>
      <c r="AW1" s="21" t="s">
        <v>135</v>
      </c>
      <c r="AX1" s="21" t="s">
        <v>136</v>
      </c>
      <c r="AY1" s="21" t="s">
        <v>137</v>
      </c>
      <c r="AZ1" s="21" t="s">
        <v>17</v>
      </c>
    </row>
    <row r="2" spans="5:52" x14ac:dyDescent="0.25">
      <c r="E2" t="s">
        <v>86</v>
      </c>
      <c r="F2" t="s">
        <v>138</v>
      </c>
      <c r="G2" t="s">
        <v>139</v>
      </c>
      <c r="H2" t="s">
        <v>140</v>
      </c>
      <c r="I2" t="s">
        <v>141</v>
      </c>
      <c r="J2" t="s">
        <v>142</v>
      </c>
      <c r="K2" t="s">
        <v>143</v>
      </c>
      <c r="L2" t="s">
        <v>144</v>
      </c>
      <c r="M2" t="s">
        <v>145</v>
      </c>
      <c r="N2" t="s">
        <v>146</v>
      </c>
      <c r="O2" t="s">
        <v>147</v>
      </c>
      <c r="P2" t="s">
        <v>148</v>
      </c>
      <c r="Q2" t="s">
        <v>149</v>
      </c>
      <c r="R2" t="s">
        <v>150</v>
      </c>
      <c r="S2" t="s">
        <v>151</v>
      </c>
      <c r="T2" t="s">
        <v>152</v>
      </c>
      <c r="U2" t="s">
        <v>153</v>
      </c>
      <c r="V2" t="s">
        <v>154</v>
      </c>
      <c r="W2" t="s">
        <v>62</v>
      </c>
      <c r="X2" t="s">
        <v>28</v>
      </c>
      <c r="Y2" t="s">
        <v>28</v>
      </c>
      <c r="Z2" t="s">
        <v>155</v>
      </c>
      <c r="AA2" t="s">
        <v>156</v>
      </c>
      <c r="AB2" t="s">
        <v>157</v>
      </c>
      <c r="AC2" t="s">
        <v>158</v>
      </c>
      <c r="AD2" t="s">
        <v>159</v>
      </c>
      <c r="AE2" t="s">
        <v>160</v>
      </c>
      <c r="AF2" t="s">
        <v>161</v>
      </c>
      <c r="AG2" t="s">
        <v>162</v>
      </c>
      <c r="AH2" t="s">
        <v>163</v>
      </c>
      <c r="AI2" t="s">
        <v>164</v>
      </c>
      <c r="AJ2" t="s">
        <v>150</v>
      </c>
      <c r="AK2" t="s">
        <v>165</v>
      </c>
      <c r="AL2" t="s">
        <v>166</v>
      </c>
      <c r="AM2" t="s">
        <v>167</v>
      </c>
      <c r="AN2" t="s">
        <v>11</v>
      </c>
      <c r="AO2" t="s">
        <v>168</v>
      </c>
      <c r="AP2" t="s">
        <v>169</v>
      </c>
      <c r="AQ2" t="s">
        <v>170</v>
      </c>
      <c r="AR2">
        <v>5000</v>
      </c>
      <c r="AS2">
        <v>5200</v>
      </c>
      <c r="AT2" t="s">
        <v>171</v>
      </c>
      <c r="AU2" t="s">
        <v>171</v>
      </c>
      <c r="AV2" t="s">
        <v>62</v>
      </c>
      <c r="AW2" t="s">
        <v>171</v>
      </c>
      <c r="AX2" t="s">
        <v>171</v>
      </c>
      <c r="AY2" t="s">
        <v>62</v>
      </c>
      <c r="AZ2" t="s">
        <v>20</v>
      </c>
    </row>
    <row r="3" spans="5:52" x14ac:dyDescent="0.25">
      <c r="E3" t="s">
        <v>172</v>
      </c>
      <c r="F3" t="s">
        <v>173</v>
      </c>
      <c r="G3" t="s">
        <v>174</v>
      </c>
      <c r="H3" t="s">
        <v>175</v>
      </c>
      <c r="I3" t="s">
        <v>176</v>
      </c>
      <c r="J3" t="s">
        <v>177</v>
      </c>
      <c r="K3" t="s">
        <v>178</v>
      </c>
      <c r="L3" t="s">
        <v>179</v>
      </c>
      <c r="M3" t="s">
        <v>180</v>
      </c>
      <c r="N3" t="s">
        <v>181</v>
      </c>
      <c r="O3" t="s">
        <v>28</v>
      </c>
      <c r="P3" t="s">
        <v>182</v>
      </c>
      <c r="Q3" t="s">
        <v>149</v>
      </c>
      <c r="R3" t="s">
        <v>150</v>
      </c>
      <c r="S3" t="s">
        <v>183</v>
      </c>
      <c r="T3" t="s">
        <v>184</v>
      </c>
      <c r="U3" t="s">
        <v>185</v>
      </c>
      <c r="V3" t="s">
        <v>186</v>
      </c>
      <c r="W3" t="s">
        <v>62</v>
      </c>
      <c r="X3" t="s">
        <v>28</v>
      </c>
      <c r="Y3" t="s">
        <v>28</v>
      </c>
      <c r="Z3" t="s">
        <v>187</v>
      </c>
      <c r="AA3" t="s">
        <v>156</v>
      </c>
      <c r="AB3" t="s">
        <v>188</v>
      </c>
      <c r="AC3" t="s">
        <v>189</v>
      </c>
      <c r="AD3" t="s">
        <v>190</v>
      </c>
      <c r="AE3" t="s">
        <v>191</v>
      </c>
      <c r="AF3" t="s">
        <v>161</v>
      </c>
      <c r="AG3" t="s">
        <v>192</v>
      </c>
      <c r="AH3" t="s">
        <v>193</v>
      </c>
      <c r="AI3" t="s">
        <v>194</v>
      </c>
      <c r="AJ3" t="s">
        <v>150</v>
      </c>
      <c r="AK3" t="s">
        <v>195</v>
      </c>
      <c r="AL3" t="s">
        <v>196</v>
      </c>
      <c r="AM3" t="s">
        <v>197</v>
      </c>
      <c r="AN3" t="s">
        <v>14</v>
      </c>
      <c r="AO3" t="s">
        <v>198</v>
      </c>
      <c r="AP3" t="s">
        <v>169</v>
      </c>
      <c r="AQ3" t="s">
        <v>199</v>
      </c>
      <c r="AR3">
        <v>6000</v>
      </c>
      <c r="AS3">
        <v>6000</v>
      </c>
      <c r="AT3" t="s">
        <v>62</v>
      </c>
      <c r="AU3" t="s">
        <v>171</v>
      </c>
      <c r="AV3" t="s">
        <v>171</v>
      </c>
      <c r="AW3" t="s">
        <v>171</v>
      </c>
      <c r="AX3" t="s">
        <v>62</v>
      </c>
      <c r="AY3" t="s">
        <v>171</v>
      </c>
      <c r="AZ3" t="s">
        <v>20</v>
      </c>
    </row>
    <row r="4" spans="5:52" x14ac:dyDescent="0.25">
      <c r="E4" t="s">
        <v>200</v>
      </c>
      <c r="F4" t="s">
        <v>201</v>
      </c>
      <c r="G4" t="s">
        <v>202</v>
      </c>
      <c r="H4" t="s">
        <v>203</v>
      </c>
      <c r="I4" t="s">
        <v>204</v>
      </c>
      <c r="J4" t="s">
        <v>142</v>
      </c>
      <c r="K4" t="s">
        <v>205</v>
      </c>
      <c r="L4" t="s">
        <v>206</v>
      </c>
      <c r="M4" t="s">
        <v>207</v>
      </c>
      <c r="N4" t="s">
        <v>208</v>
      </c>
      <c r="O4" t="s">
        <v>209</v>
      </c>
      <c r="P4" t="s">
        <v>210</v>
      </c>
      <c r="Q4" t="s">
        <v>149</v>
      </c>
      <c r="R4" t="s">
        <v>150</v>
      </c>
      <c r="S4" t="s">
        <v>211</v>
      </c>
      <c r="T4" t="s">
        <v>212</v>
      </c>
      <c r="U4" t="s">
        <v>213</v>
      </c>
      <c r="V4" t="s">
        <v>214</v>
      </c>
      <c r="W4" t="s">
        <v>62</v>
      </c>
      <c r="X4" t="s">
        <v>28</v>
      </c>
      <c r="Y4" t="s">
        <v>28</v>
      </c>
      <c r="Z4" t="s">
        <v>215</v>
      </c>
      <c r="AA4" t="s">
        <v>156</v>
      </c>
      <c r="AB4" t="s">
        <v>157</v>
      </c>
      <c r="AC4" t="s">
        <v>216</v>
      </c>
      <c r="AD4" t="s">
        <v>159</v>
      </c>
      <c r="AE4" t="s">
        <v>217</v>
      </c>
      <c r="AF4" t="s">
        <v>161</v>
      </c>
      <c r="AG4" t="s">
        <v>218</v>
      </c>
      <c r="AH4" t="s">
        <v>219</v>
      </c>
      <c r="AI4" t="s">
        <v>220</v>
      </c>
      <c r="AJ4" t="s">
        <v>150</v>
      </c>
      <c r="AK4" t="s">
        <v>221</v>
      </c>
      <c r="AL4" t="s">
        <v>222</v>
      </c>
      <c r="AM4" t="s">
        <v>223</v>
      </c>
      <c r="AN4" t="s">
        <v>15</v>
      </c>
      <c r="AO4" t="s">
        <v>224</v>
      </c>
      <c r="AP4" t="s">
        <v>169</v>
      </c>
      <c r="AQ4" t="s">
        <v>225</v>
      </c>
      <c r="AR4">
        <v>4500</v>
      </c>
      <c r="AS4">
        <v>4800</v>
      </c>
      <c r="AT4" t="s">
        <v>171</v>
      </c>
      <c r="AU4" t="s">
        <v>171</v>
      </c>
      <c r="AV4" t="s">
        <v>62</v>
      </c>
      <c r="AW4" t="s">
        <v>171</v>
      </c>
      <c r="AX4" t="s">
        <v>171</v>
      </c>
      <c r="AY4" t="s">
        <v>62</v>
      </c>
      <c r="AZ4" t="s">
        <v>20</v>
      </c>
    </row>
    <row r="5" spans="5:52" x14ac:dyDescent="0.25">
      <c r="E5" t="s">
        <v>226</v>
      </c>
      <c r="F5" t="s">
        <v>227</v>
      </c>
      <c r="G5" t="s">
        <v>228</v>
      </c>
      <c r="H5" t="s">
        <v>229</v>
      </c>
      <c r="I5" t="s">
        <v>230</v>
      </c>
      <c r="J5" t="s">
        <v>177</v>
      </c>
      <c r="K5" t="s">
        <v>231</v>
      </c>
      <c r="L5" t="s">
        <v>232</v>
      </c>
      <c r="M5" t="s">
        <v>233</v>
      </c>
      <c r="N5" t="s">
        <v>234</v>
      </c>
      <c r="O5" t="s">
        <v>235</v>
      </c>
      <c r="P5" t="s">
        <v>236</v>
      </c>
      <c r="Q5" t="s">
        <v>149</v>
      </c>
      <c r="R5" t="s">
        <v>150</v>
      </c>
      <c r="S5" t="s">
        <v>237</v>
      </c>
      <c r="T5" t="s">
        <v>238</v>
      </c>
      <c r="U5" t="s">
        <v>239</v>
      </c>
      <c r="V5" t="s">
        <v>186</v>
      </c>
      <c r="W5" t="s">
        <v>62</v>
      </c>
      <c r="X5" t="s">
        <v>28</v>
      </c>
      <c r="Y5" t="s">
        <v>28</v>
      </c>
      <c r="Z5" t="s">
        <v>155</v>
      </c>
      <c r="AA5" t="s">
        <v>156</v>
      </c>
      <c r="AB5" t="s">
        <v>188</v>
      </c>
      <c r="AC5" t="s">
        <v>240</v>
      </c>
      <c r="AD5" t="s">
        <v>241</v>
      </c>
      <c r="AE5" t="s">
        <v>242</v>
      </c>
      <c r="AF5" t="s">
        <v>161</v>
      </c>
      <c r="AG5" t="s">
        <v>243</v>
      </c>
      <c r="AH5" t="s">
        <v>244</v>
      </c>
      <c r="AI5" t="s">
        <v>245</v>
      </c>
      <c r="AJ5" t="s">
        <v>150</v>
      </c>
      <c r="AK5" t="s">
        <v>246</v>
      </c>
      <c r="AL5" t="s">
        <v>247</v>
      </c>
      <c r="AM5" t="s">
        <v>248</v>
      </c>
      <c r="AN5" t="s">
        <v>4</v>
      </c>
      <c r="AO5" t="s">
        <v>11</v>
      </c>
      <c r="AP5" t="s">
        <v>169</v>
      </c>
      <c r="AQ5" t="s">
        <v>249</v>
      </c>
      <c r="AR5">
        <v>1500</v>
      </c>
      <c r="AS5">
        <v>1500</v>
      </c>
      <c r="AT5" t="s">
        <v>171</v>
      </c>
      <c r="AU5" t="s">
        <v>62</v>
      </c>
      <c r="AV5" t="s">
        <v>171</v>
      </c>
      <c r="AW5" t="s">
        <v>171</v>
      </c>
      <c r="AX5" t="s">
        <v>62</v>
      </c>
      <c r="AY5" t="s">
        <v>62</v>
      </c>
      <c r="AZ5" t="s">
        <v>20</v>
      </c>
    </row>
    <row r="6" spans="5:52" x14ac:dyDescent="0.25">
      <c r="E6" t="s">
        <v>250</v>
      </c>
      <c r="F6" t="s">
        <v>251</v>
      </c>
      <c r="G6" t="s">
        <v>252</v>
      </c>
      <c r="H6" t="s">
        <v>253</v>
      </c>
      <c r="I6" t="s">
        <v>254</v>
      </c>
      <c r="J6" t="s">
        <v>255</v>
      </c>
      <c r="K6" t="s">
        <v>256</v>
      </c>
      <c r="L6" t="s">
        <v>257</v>
      </c>
      <c r="M6" t="s">
        <v>258</v>
      </c>
      <c r="N6" t="s">
        <v>259</v>
      </c>
      <c r="O6" t="s">
        <v>28</v>
      </c>
      <c r="P6" t="s">
        <v>260</v>
      </c>
      <c r="Q6" t="s">
        <v>149</v>
      </c>
      <c r="R6" t="s">
        <v>150</v>
      </c>
      <c r="S6" t="s">
        <v>261</v>
      </c>
      <c r="T6" t="s">
        <v>262</v>
      </c>
      <c r="U6" t="s">
        <v>263</v>
      </c>
      <c r="V6" t="s">
        <v>154</v>
      </c>
      <c r="W6" t="s">
        <v>62</v>
      </c>
      <c r="X6" t="s">
        <v>28</v>
      </c>
      <c r="Y6" t="s">
        <v>28</v>
      </c>
      <c r="Z6" t="s">
        <v>264</v>
      </c>
      <c r="AA6" t="s">
        <v>156</v>
      </c>
      <c r="AB6" t="s">
        <v>157</v>
      </c>
      <c r="AC6" t="s">
        <v>265</v>
      </c>
      <c r="AD6" t="s">
        <v>159</v>
      </c>
      <c r="AE6" t="s">
        <v>266</v>
      </c>
      <c r="AF6" t="s">
        <v>161</v>
      </c>
      <c r="AG6" t="s">
        <v>267</v>
      </c>
      <c r="AH6" t="s">
        <v>268</v>
      </c>
      <c r="AI6" t="s">
        <v>269</v>
      </c>
      <c r="AJ6" t="s">
        <v>150</v>
      </c>
      <c r="AK6" t="s">
        <v>270</v>
      </c>
      <c r="AL6" t="s">
        <v>271</v>
      </c>
      <c r="AM6" t="s">
        <v>272</v>
      </c>
      <c r="AN6" t="s">
        <v>5</v>
      </c>
      <c r="AO6" t="s">
        <v>273</v>
      </c>
      <c r="AP6" t="s">
        <v>169</v>
      </c>
      <c r="AQ6" t="s">
        <v>274</v>
      </c>
      <c r="AR6">
        <v>8000</v>
      </c>
      <c r="AS6">
        <v>8500</v>
      </c>
      <c r="AT6" t="s">
        <v>62</v>
      </c>
      <c r="AU6" t="s">
        <v>171</v>
      </c>
      <c r="AV6" t="s">
        <v>171</v>
      </c>
      <c r="AW6" t="s">
        <v>171</v>
      </c>
      <c r="AX6" t="s">
        <v>171</v>
      </c>
      <c r="AY6" t="s">
        <v>171</v>
      </c>
      <c r="AZ6" t="s">
        <v>20</v>
      </c>
    </row>
    <row r="7" spans="5:52" x14ac:dyDescent="0.25">
      <c r="E7" t="s">
        <v>275</v>
      </c>
      <c r="F7" t="s">
        <v>276</v>
      </c>
      <c r="G7" t="s">
        <v>277</v>
      </c>
      <c r="H7" t="s">
        <v>278</v>
      </c>
      <c r="I7" t="s">
        <v>279</v>
      </c>
      <c r="J7" t="s">
        <v>177</v>
      </c>
      <c r="K7" t="s">
        <v>280</v>
      </c>
      <c r="L7" t="s">
        <v>281</v>
      </c>
      <c r="M7" t="s">
        <v>282</v>
      </c>
      <c r="N7" t="s">
        <v>283</v>
      </c>
      <c r="O7" t="s">
        <v>284</v>
      </c>
      <c r="P7" t="s">
        <v>285</v>
      </c>
      <c r="Q7" t="s">
        <v>286</v>
      </c>
      <c r="R7" t="s">
        <v>287</v>
      </c>
      <c r="S7" t="s">
        <v>288</v>
      </c>
      <c r="T7" t="s">
        <v>289</v>
      </c>
      <c r="U7" t="s">
        <v>290</v>
      </c>
      <c r="V7" t="s">
        <v>186</v>
      </c>
      <c r="W7" t="s">
        <v>62</v>
      </c>
      <c r="X7" t="s">
        <v>28</v>
      </c>
      <c r="Y7" t="s">
        <v>28</v>
      </c>
      <c r="Z7" t="s">
        <v>291</v>
      </c>
      <c r="AA7" t="s">
        <v>156</v>
      </c>
      <c r="AB7" t="s">
        <v>188</v>
      </c>
      <c r="AC7" t="s">
        <v>292</v>
      </c>
      <c r="AD7" t="s">
        <v>159</v>
      </c>
      <c r="AE7" t="s">
        <v>293</v>
      </c>
      <c r="AF7" t="s">
        <v>161</v>
      </c>
      <c r="AG7" t="s">
        <v>294</v>
      </c>
      <c r="AH7" t="s">
        <v>295</v>
      </c>
      <c r="AI7" t="s">
        <v>296</v>
      </c>
      <c r="AJ7" t="s">
        <v>287</v>
      </c>
      <c r="AK7" t="s">
        <v>297</v>
      </c>
      <c r="AL7" t="s">
        <v>298</v>
      </c>
      <c r="AM7" t="s">
        <v>167</v>
      </c>
      <c r="AN7" t="s">
        <v>11</v>
      </c>
      <c r="AO7" t="s">
        <v>299</v>
      </c>
      <c r="AP7" t="s">
        <v>169</v>
      </c>
      <c r="AQ7" t="s">
        <v>300</v>
      </c>
      <c r="AR7">
        <v>5200</v>
      </c>
      <c r="AS7">
        <v>5200</v>
      </c>
      <c r="AT7" t="s">
        <v>62</v>
      </c>
      <c r="AU7" t="s">
        <v>171</v>
      </c>
      <c r="AV7" t="s">
        <v>62</v>
      </c>
      <c r="AW7" t="s">
        <v>171</v>
      </c>
      <c r="AX7" t="s">
        <v>62</v>
      </c>
      <c r="AY7" t="s">
        <v>62</v>
      </c>
      <c r="AZ7" t="s">
        <v>20</v>
      </c>
    </row>
    <row r="8" spans="5:52" x14ac:dyDescent="0.25">
      <c r="E8" t="s">
        <v>301</v>
      </c>
      <c r="F8" t="s">
        <v>302</v>
      </c>
      <c r="G8" t="s">
        <v>303</v>
      </c>
      <c r="H8" t="s">
        <v>304</v>
      </c>
      <c r="I8" t="s">
        <v>305</v>
      </c>
      <c r="J8" t="s">
        <v>142</v>
      </c>
      <c r="K8" t="s">
        <v>306</v>
      </c>
      <c r="L8" t="s">
        <v>307</v>
      </c>
      <c r="M8" t="s">
        <v>308</v>
      </c>
      <c r="N8" t="s">
        <v>309</v>
      </c>
      <c r="O8" t="s">
        <v>310</v>
      </c>
      <c r="P8" t="s">
        <v>182</v>
      </c>
      <c r="Q8" t="s">
        <v>149</v>
      </c>
      <c r="R8" t="s">
        <v>150</v>
      </c>
      <c r="S8" t="s">
        <v>311</v>
      </c>
      <c r="T8" t="s">
        <v>312</v>
      </c>
      <c r="U8" t="s">
        <v>313</v>
      </c>
      <c r="V8" t="s">
        <v>154</v>
      </c>
      <c r="W8" t="s">
        <v>62</v>
      </c>
      <c r="X8" t="s">
        <v>28</v>
      </c>
      <c r="Y8" t="s">
        <v>28</v>
      </c>
      <c r="Z8" t="s">
        <v>314</v>
      </c>
      <c r="AA8" t="s">
        <v>156</v>
      </c>
      <c r="AB8" t="s">
        <v>157</v>
      </c>
      <c r="AC8" t="s">
        <v>315</v>
      </c>
      <c r="AD8" t="s">
        <v>159</v>
      </c>
      <c r="AE8" t="s">
        <v>316</v>
      </c>
      <c r="AF8" t="s">
        <v>161</v>
      </c>
      <c r="AG8" t="s">
        <v>317</v>
      </c>
      <c r="AH8" t="s">
        <v>318</v>
      </c>
      <c r="AI8" t="s">
        <v>319</v>
      </c>
      <c r="AJ8" t="s">
        <v>150</v>
      </c>
      <c r="AK8" t="s">
        <v>320</v>
      </c>
      <c r="AL8" t="s">
        <v>321</v>
      </c>
      <c r="AM8" t="s">
        <v>322</v>
      </c>
      <c r="AN8" t="s">
        <v>14</v>
      </c>
      <c r="AO8" t="s">
        <v>323</v>
      </c>
      <c r="AP8" t="s">
        <v>173</v>
      </c>
      <c r="AQ8" t="s">
        <v>324</v>
      </c>
      <c r="AR8">
        <v>3500</v>
      </c>
      <c r="AS8">
        <v>3700</v>
      </c>
      <c r="AT8" t="s">
        <v>171</v>
      </c>
      <c r="AU8" t="s">
        <v>171</v>
      </c>
      <c r="AV8" t="s">
        <v>62</v>
      </c>
      <c r="AW8" t="s">
        <v>171</v>
      </c>
      <c r="AX8" t="s">
        <v>171</v>
      </c>
      <c r="AY8" t="s">
        <v>62</v>
      </c>
      <c r="AZ8" t="s">
        <v>20</v>
      </c>
    </row>
    <row r="9" spans="5:52" x14ac:dyDescent="0.25">
      <c r="E9" t="s">
        <v>325</v>
      </c>
      <c r="F9" t="s">
        <v>326</v>
      </c>
      <c r="G9" t="s">
        <v>327</v>
      </c>
      <c r="H9" t="s">
        <v>328</v>
      </c>
      <c r="I9" t="s">
        <v>329</v>
      </c>
      <c r="J9" t="s">
        <v>177</v>
      </c>
      <c r="K9" t="s">
        <v>330</v>
      </c>
      <c r="L9" t="s">
        <v>331</v>
      </c>
      <c r="M9" t="s">
        <v>332</v>
      </c>
      <c r="N9" t="s">
        <v>333</v>
      </c>
      <c r="O9" t="s">
        <v>28</v>
      </c>
      <c r="P9" t="s">
        <v>334</v>
      </c>
      <c r="Q9" t="s">
        <v>335</v>
      </c>
      <c r="R9" t="s">
        <v>336</v>
      </c>
      <c r="S9" t="s">
        <v>337</v>
      </c>
      <c r="T9" t="s">
        <v>338</v>
      </c>
      <c r="U9" t="s">
        <v>339</v>
      </c>
      <c r="V9" t="s">
        <v>186</v>
      </c>
      <c r="W9" t="s">
        <v>62</v>
      </c>
      <c r="X9" t="s">
        <v>28</v>
      </c>
      <c r="Y9" t="s">
        <v>28</v>
      </c>
      <c r="Z9" t="s">
        <v>340</v>
      </c>
      <c r="AA9" t="s">
        <v>156</v>
      </c>
      <c r="AB9" t="s">
        <v>188</v>
      </c>
      <c r="AC9" t="s">
        <v>341</v>
      </c>
      <c r="AD9" t="s">
        <v>342</v>
      </c>
      <c r="AE9" t="s">
        <v>343</v>
      </c>
      <c r="AF9" t="s">
        <v>161</v>
      </c>
      <c r="AG9" t="s">
        <v>344</v>
      </c>
      <c r="AH9" t="s">
        <v>345</v>
      </c>
      <c r="AI9" t="s">
        <v>346</v>
      </c>
      <c r="AJ9" t="s">
        <v>336</v>
      </c>
      <c r="AK9" t="s">
        <v>347</v>
      </c>
      <c r="AL9" t="s">
        <v>348</v>
      </c>
      <c r="AM9" t="s">
        <v>349</v>
      </c>
      <c r="AN9" t="s">
        <v>12</v>
      </c>
      <c r="AO9" t="s">
        <v>343</v>
      </c>
      <c r="AP9" t="s">
        <v>169</v>
      </c>
      <c r="AQ9" t="s">
        <v>350</v>
      </c>
      <c r="AR9">
        <v>2500</v>
      </c>
      <c r="AS9">
        <v>2500</v>
      </c>
      <c r="AT9" t="s">
        <v>171</v>
      </c>
      <c r="AU9" t="s">
        <v>171</v>
      </c>
      <c r="AV9" t="s">
        <v>62</v>
      </c>
      <c r="AW9" t="s">
        <v>171</v>
      </c>
      <c r="AX9" t="s">
        <v>62</v>
      </c>
      <c r="AY9" t="s">
        <v>62</v>
      </c>
      <c r="AZ9" t="s">
        <v>20</v>
      </c>
    </row>
    <row r="10" spans="5:52" x14ac:dyDescent="0.25">
      <c r="E10" t="s">
        <v>351</v>
      </c>
      <c r="F10" t="s">
        <v>352</v>
      </c>
      <c r="G10" t="s">
        <v>353</v>
      </c>
      <c r="H10" t="s">
        <v>354</v>
      </c>
      <c r="I10" t="s">
        <v>355</v>
      </c>
      <c r="J10" t="s">
        <v>142</v>
      </c>
      <c r="K10" t="s">
        <v>356</v>
      </c>
      <c r="L10" t="s">
        <v>357</v>
      </c>
      <c r="M10" t="s">
        <v>358</v>
      </c>
      <c r="N10" t="s">
        <v>359</v>
      </c>
      <c r="O10" t="s">
        <v>360</v>
      </c>
      <c r="P10" t="s">
        <v>210</v>
      </c>
      <c r="Q10" t="s">
        <v>149</v>
      </c>
      <c r="R10" t="s">
        <v>150</v>
      </c>
      <c r="S10" t="s">
        <v>361</v>
      </c>
      <c r="T10" t="s">
        <v>362</v>
      </c>
      <c r="U10" t="s">
        <v>363</v>
      </c>
      <c r="V10" t="s">
        <v>364</v>
      </c>
      <c r="W10" t="s">
        <v>62</v>
      </c>
      <c r="X10" t="s">
        <v>28</v>
      </c>
      <c r="Y10" t="s">
        <v>28</v>
      </c>
      <c r="Z10" t="s">
        <v>365</v>
      </c>
      <c r="AA10" t="s">
        <v>156</v>
      </c>
      <c r="AB10" t="s">
        <v>157</v>
      </c>
      <c r="AC10" t="s">
        <v>366</v>
      </c>
      <c r="AD10" t="s">
        <v>190</v>
      </c>
      <c r="AE10" t="s">
        <v>367</v>
      </c>
      <c r="AF10" t="s">
        <v>161</v>
      </c>
      <c r="AG10" t="s">
        <v>368</v>
      </c>
      <c r="AH10" t="s">
        <v>369</v>
      </c>
      <c r="AI10" t="s">
        <v>370</v>
      </c>
      <c r="AJ10" t="s">
        <v>150</v>
      </c>
      <c r="AK10" t="s">
        <v>371</v>
      </c>
      <c r="AL10" t="s">
        <v>321</v>
      </c>
      <c r="AM10" t="s">
        <v>372</v>
      </c>
      <c r="AN10" t="s">
        <v>11</v>
      </c>
      <c r="AO10" t="s">
        <v>373</v>
      </c>
      <c r="AP10" t="s">
        <v>169</v>
      </c>
      <c r="AQ10" t="s">
        <v>374</v>
      </c>
      <c r="AR10">
        <v>8500</v>
      </c>
      <c r="AS10">
        <v>9000</v>
      </c>
      <c r="AT10" t="s">
        <v>62</v>
      </c>
      <c r="AU10" t="s">
        <v>171</v>
      </c>
      <c r="AV10" t="s">
        <v>171</v>
      </c>
      <c r="AW10" t="s">
        <v>171</v>
      </c>
      <c r="AX10" t="s">
        <v>171</v>
      </c>
      <c r="AY10" t="s">
        <v>171</v>
      </c>
      <c r="AZ10" t="s">
        <v>20</v>
      </c>
    </row>
    <row r="11" spans="5:52" x14ac:dyDescent="0.25">
      <c r="E11" t="s">
        <v>375</v>
      </c>
      <c r="F11" t="s">
        <v>376</v>
      </c>
      <c r="G11" t="s">
        <v>377</v>
      </c>
      <c r="H11" t="s">
        <v>378</v>
      </c>
      <c r="I11" t="s">
        <v>379</v>
      </c>
      <c r="J11" t="s">
        <v>177</v>
      </c>
      <c r="K11" t="s">
        <v>380</v>
      </c>
      <c r="L11" t="s">
        <v>381</v>
      </c>
      <c r="M11" t="s">
        <v>382</v>
      </c>
      <c r="N11" t="s">
        <v>383</v>
      </c>
      <c r="O11" t="s">
        <v>28</v>
      </c>
      <c r="P11" t="s">
        <v>182</v>
      </c>
      <c r="Q11" t="s">
        <v>149</v>
      </c>
      <c r="R11" t="s">
        <v>150</v>
      </c>
      <c r="S11" t="s">
        <v>384</v>
      </c>
      <c r="T11" t="s">
        <v>385</v>
      </c>
      <c r="U11" t="s">
        <v>386</v>
      </c>
      <c r="V11" t="s">
        <v>186</v>
      </c>
      <c r="W11" t="s">
        <v>62</v>
      </c>
      <c r="X11" t="s">
        <v>28</v>
      </c>
      <c r="Y11" t="s">
        <v>28</v>
      </c>
      <c r="Z11" t="s">
        <v>155</v>
      </c>
      <c r="AA11" t="s">
        <v>156</v>
      </c>
      <c r="AB11" t="s">
        <v>188</v>
      </c>
      <c r="AC11" t="s">
        <v>387</v>
      </c>
      <c r="AD11" t="s">
        <v>388</v>
      </c>
      <c r="AE11" t="s">
        <v>389</v>
      </c>
      <c r="AF11" t="s">
        <v>161</v>
      </c>
      <c r="AG11" t="s">
        <v>390</v>
      </c>
      <c r="AH11" t="s">
        <v>391</v>
      </c>
      <c r="AI11" t="s">
        <v>392</v>
      </c>
      <c r="AJ11" t="s">
        <v>150</v>
      </c>
      <c r="AK11" t="s">
        <v>393</v>
      </c>
      <c r="AL11" t="s">
        <v>394</v>
      </c>
      <c r="AM11" t="s">
        <v>395</v>
      </c>
      <c r="AN11" t="s">
        <v>5</v>
      </c>
      <c r="AO11" t="s">
        <v>273</v>
      </c>
      <c r="AP11" t="s">
        <v>251</v>
      </c>
      <c r="AQ11" t="s">
        <v>396</v>
      </c>
      <c r="AR11">
        <v>2000</v>
      </c>
      <c r="AS11">
        <v>2000</v>
      </c>
      <c r="AT11" t="s">
        <v>171</v>
      </c>
      <c r="AU11" t="s">
        <v>171</v>
      </c>
      <c r="AV11" t="s">
        <v>62</v>
      </c>
      <c r="AW11" t="s">
        <v>171</v>
      </c>
      <c r="AX11" t="s">
        <v>62</v>
      </c>
      <c r="AY11" t="s">
        <v>62</v>
      </c>
      <c r="AZ1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K1"/>
  <sheetFormatPr defaultRowHeight="15" outlineLevelRow="0" outlineLevelCol="0" x14ac:dyDescent="55"/>
  <sheetData>
    <row r="1" spans="5:11" x14ac:dyDescent="0.25">
      <c r="E1" t="s">
        <v>70</v>
      </c>
      <c r="F1" t="s">
        <v>397</v>
      </c>
      <c r="G1" t="s">
        <v>72</v>
      </c>
      <c r="H1" t="s">
        <v>73</v>
      </c>
      <c r="I1" t="s">
        <v>398</v>
      </c>
      <c r="J1" t="s">
        <v>75</v>
      </c>
      <c r="K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J1"/>
  <sheetFormatPr defaultRowHeight="15" outlineLevelRow="0" outlineLevelCol="0" x14ac:dyDescent="55"/>
  <sheetData>
    <row r="1" spans="5:10" x14ac:dyDescent="0.25">
      <c r="E1" t="s">
        <v>70</v>
      </c>
      <c r="F1" t="s">
        <v>397</v>
      </c>
      <c r="G1" t="s">
        <v>399</v>
      </c>
      <c r="H1" t="s">
        <v>398</v>
      </c>
      <c r="I1" t="s">
        <v>75</v>
      </c>
      <c r="J1" t="s">
        <v>128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J1"/>
  <sheetFormatPr defaultRowHeight="15" outlineLevelRow="0" outlineLevelCol="0" x14ac:dyDescent="55"/>
  <sheetData>
    <row r="1" spans="5:10" x14ac:dyDescent="0.25">
      <c r="E1" t="s">
        <v>70</v>
      </c>
      <c r="F1" t="s">
        <v>397</v>
      </c>
      <c r="G1" t="s">
        <v>399</v>
      </c>
      <c r="H1" t="s">
        <v>400</v>
      </c>
      <c r="I1" t="s">
        <v>401</v>
      </c>
      <c r="J1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CADASTRO</vt:lpstr>
      <vt:lpstr>AFASTAMENTOS</vt:lpstr>
      <vt:lpstr>DISCIPLINAR</vt:lpstr>
      <vt:lpstr>HORAS_EXTRAS</vt:lpstr>
      <vt:lpstr>RELATORIOS</vt:lpstr>
      <vt:lpstr>DB_FUNCIONARIOS</vt:lpstr>
      <vt:lpstr>DB_AFASTAMENTOS</vt:lpstr>
      <vt:lpstr>DB_DISCIPLINAR</vt:lpstr>
      <vt:lpstr>DB_HORAS_EXTRAS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2026-06-12T15:48:11Z</dcterms:created>
  <dcterms:modified xsi:type="dcterms:W3CDTF">2026-06-12T15:48:11Z</dcterms:modified>
</cp:coreProperties>
</file>